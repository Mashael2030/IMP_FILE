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F9A1CC7B-D658-4948-AF1F-D565AFF1101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Dashboard" sheetId="2" r:id="rId1"/>
    <sheet name="Recruiter 01 Data " sheetId="1" r:id="rId2"/>
    <sheet name="Recruiter 02 Data" sheetId="6" r:id="rId3"/>
    <sheet name="Recruiter 03 Data" sheetId="7" r:id="rId4"/>
    <sheet name="Recruiter 04 Data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8" l="1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9" i="8"/>
  <c r="H30" i="7"/>
  <c r="H31" i="7"/>
  <c r="H2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9" i="7"/>
  <c r="H2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9" i="6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9" i="1"/>
  <c r="Q9" i="2" l="1"/>
  <c r="P9" i="2"/>
  <c r="O9" i="2"/>
  <c r="N9" i="2"/>
  <c r="M9" i="2"/>
  <c r="Q8" i="2"/>
  <c r="P8" i="2"/>
  <c r="O8" i="2"/>
  <c r="N8" i="2"/>
  <c r="M8" i="2"/>
  <c r="Q7" i="2"/>
  <c r="P7" i="2"/>
  <c r="O7" i="2"/>
  <c r="N7" i="2"/>
  <c r="M7" i="2"/>
  <c r="Q6" i="2"/>
  <c r="P6" i="2"/>
  <c r="O6" i="2"/>
  <c r="N6" i="2"/>
  <c r="M6" i="2"/>
  <c r="J9" i="2"/>
  <c r="I9" i="2"/>
  <c r="H9" i="2"/>
  <c r="G9" i="2"/>
  <c r="F9" i="2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C9" i="2"/>
  <c r="C8" i="2"/>
  <c r="C7" i="2"/>
  <c r="B10" i="8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10" i="7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10" i="6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C6" i="2" l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<sst xmlns="http://schemas.openxmlformats.org/spreadsheetml/2006/main" count="308" uniqueCount="52">
  <si>
    <t>S.No</t>
  </si>
  <si>
    <t>Position ID</t>
  </si>
  <si>
    <t>Title</t>
  </si>
  <si>
    <t>Hiring Manager</t>
  </si>
  <si>
    <t>Open Days</t>
  </si>
  <si>
    <t>Notes</t>
  </si>
  <si>
    <t>Background/Onboarding</t>
  </si>
  <si>
    <t>1-00-02</t>
  </si>
  <si>
    <t>1-00-03</t>
  </si>
  <si>
    <t>1-00-04</t>
  </si>
  <si>
    <t>1-00-05</t>
  </si>
  <si>
    <t>1-00-06</t>
  </si>
  <si>
    <t>1-00-07</t>
  </si>
  <si>
    <t>1-00-08</t>
  </si>
  <si>
    <t>1-00-09</t>
  </si>
  <si>
    <t>1-00-10</t>
  </si>
  <si>
    <t>1-00-11</t>
  </si>
  <si>
    <t>1-00-12</t>
  </si>
  <si>
    <t>1-00-13</t>
  </si>
  <si>
    <t>1-00-14</t>
  </si>
  <si>
    <t>1-00-15</t>
  </si>
  <si>
    <t>1-00-16</t>
  </si>
  <si>
    <t>1-00-17</t>
  </si>
  <si>
    <t>1-00-18</t>
  </si>
  <si>
    <t>1-00-19</t>
  </si>
  <si>
    <t>1-00-20</t>
  </si>
  <si>
    <t>1-00-21</t>
  </si>
  <si>
    <t>Area Manager</t>
  </si>
  <si>
    <t>Operation Manager</t>
  </si>
  <si>
    <t>Trainer</t>
  </si>
  <si>
    <t>Number of Positions</t>
  </si>
  <si>
    <t>Recruiter Name</t>
  </si>
  <si>
    <t>Recruiter 01</t>
  </si>
  <si>
    <t>Recruiter 02</t>
  </si>
  <si>
    <t>Recruiter 03</t>
  </si>
  <si>
    <t>Recruiter 04</t>
  </si>
  <si>
    <t>Intake</t>
  </si>
  <si>
    <t>Sourcing</t>
  </si>
  <si>
    <t>Interviewing</t>
  </si>
  <si>
    <t>Offer</t>
  </si>
  <si>
    <t>RGM</t>
  </si>
  <si>
    <t>Manager</t>
  </si>
  <si>
    <t>DASHBOARD</t>
  </si>
  <si>
    <t xml:space="preserve">Number of Postions </t>
  </si>
  <si>
    <t>Stages Wise No of Positions</t>
  </si>
  <si>
    <t>Working Average of Days</t>
  </si>
  <si>
    <t>Stage</t>
  </si>
  <si>
    <t>1-00-22</t>
  </si>
  <si>
    <t>Team Leader</t>
  </si>
  <si>
    <t>1-00-23</t>
  </si>
  <si>
    <t>1-00-24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</si>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</sst>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Times New Roman"/>
      <family val="1"/>
    </font>
    <font>
      <b/>
      <i/>
      <u/>
      <sz val="28"/>
      <color theme="7" tint="-0.49998474074526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</cellXfs>
  <cellStyles count="1">
    <cellStyle name="عادي" xfId="0" builtinId="0"/>
  </cellStyles>
  <dxfs count="56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[$-409]d\-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[$-409]d\-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[$-409]d\-mmm\-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187564273764025E-2"/>
          <c:y val="3.893325834270716E-2"/>
          <c:w val="0.94735959540145198"/>
          <c:h val="0.9257056617922759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1C-48F3-841C-25712FF32F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1C-48F3-841C-25712FF32F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1C-48F3-841C-25712FF32F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1C-48F3-841C-25712FF32F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Dashboard!$B$6:$B$9</c:f>
              <c:strCache>
                <c:ptCount val="4"/>
                <c:pt idx="0">
                  <c:v>Recruiter 01</c:v>
                </c:pt>
                <c:pt idx="1">
                  <c:v>Recruiter 02</c:v>
                </c:pt>
                <c:pt idx="2">
                  <c:v>Recruiter 03</c:v>
                </c:pt>
                <c:pt idx="3">
                  <c:v>Recruiter 04</c:v>
                </c:pt>
              </c:strCache>
            </c:strRef>
          </c:cat>
          <c:val>
            <c:numRef>
              <c:f>Dashboard!$C$6:$C$9</c:f>
              <c:numCache>
                <c:formatCode>General</c:formatCode>
                <c:ptCount val="4"/>
                <c:pt idx="0">
                  <c:v>21</c:v>
                </c:pt>
                <c:pt idx="1">
                  <c:v>20</c:v>
                </c:pt>
                <c:pt idx="2">
                  <c:v>23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0-4E4F-AC09-6160042C82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Dashboard!$E$6</c:f>
              <c:strCache>
                <c:ptCount val="1"/>
                <c:pt idx="0">
                  <c:v>Recruiter 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Dashboard!$F$5:$J$5</c:f>
              <c:strCache>
                <c:ptCount val="5"/>
                <c:pt idx="0">
                  <c:v>Intake</c:v>
                </c:pt>
                <c:pt idx="1">
                  <c:v>Sourcing</c:v>
                </c:pt>
                <c:pt idx="2">
                  <c:v>Interviewing</c:v>
                </c:pt>
                <c:pt idx="3">
                  <c:v>Offer</c:v>
                </c:pt>
                <c:pt idx="4">
                  <c:v>Background/Onboarding</c:v>
                </c:pt>
              </c:strCache>
            </c:strRef>
          </c:cat>
          <c:val>
            <c:numRef>
              <c:f>Dashboard!$F$6:$J$6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9-41FD-8EBB-E995E1DEE6B1}"/>
            </c:ext>
          </c:extLst>
        </c:ser>
        <c:ser>
          <c:idx val="1"/>
          <c:order val="1"/>
          <c:tx>
            <c:strRef>
              <c:f>Dashboard!$E$7</c:f>
              <c:strCache>
                <c:ptCount val="1"/>
                <c:pt idx="0">
                  <c:v>Recruiter 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Dashboard!$F$5:$J$5</c:f>
              <c:strCache>
                <c:ptCount val="5"/>
                <c:pt idx="0">
                  <c:v>Intake</c:v>
                </c:pt>
                <c:pt idx="1">
                  <c:v>Sourcing</c:v>
                </c:pt>
                <c:pt idx="2">
                  <c:v>Interviewing</c:v>
                </c:pt>
                <c:pt idx="3">
                  <c:v>Offer</c:v>
                </c:pt>
                <c:pt idx="4">
                  <c:v>Background/Onboarding</c:v>
                </c:pt>
              </c:strCache>
            </c:strRef>
          </c:cat>
          <c:val>
            <c:numRef>
              <c:f>Dashboard!$F$7:$J$7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9-41FD-8EBB-E995E1DEE6B1}"/>
            </c:ext>
          </c:extLst>
        </c:ser>
        <c:ser>
          <c:idx val="2"/>
          <c:order val="2"/>
          <c:tx>
            <c:strRef>
              <c:f>Dashboard!$E$8</c:f>
              <c:strCache>
                <c:ptCount val="1"/>
                <c:pt idx="0">
                  <c:v>Recruiter 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Dashboard!$F$5:$J$5</c:f>
              <c:strCache>
                <c:ptCount val="5"/>
                <c:pt idx="0">
                  <c:v>Intake</c:v>
                </c:pt>
                <c:pt idx="1">
                  <c:v>Sourcing</c:v>
                </c:pt>
                <c:pt idx="2">
                  <c:v>Interviewing</c:v>
                </c:pt>
                <c:pt idx="3">
                  <c:v>Offer</c:v>
                </c:pt>
                <c:pt idx="4">
                  <c:v>Background/Onboarding</c:v>
                </c:pt>
              </c:strCache>
            </c:strRef>
          </c:cat>
          <c:val>
            <c:numRef>
              <c:f>Dashboard!$F$8:$J$8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9-41FD-8EBB-E995E1DEE6B1}"/>
            </c:ext>
          </c:extLst>
        </c:ser>
        <c:ser>
          <c:idx val="3"/>
          <c:order val="3"/>
          <c:tx>
            <c:strRef>
              <c:f>Dashboard!$E$9</c:f>
              <c:strCache>
                <c:ptCount val="1"/>
                <c:pt idx="0">
                  <c:v>Recruiter 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Dashboard!$F$5:$J$5</c:f>
              <c:strCache>
                <c:ptCount val="5"/>
                <c:pt idx="0">
                  <c:v>Intake</c:v>
                </c:pt>
                <c:pt idx="1">
                  <c:v>Sourcing</c:v>
                </c:pt>
                <c:pt idx="2">
                  <c:v>Interviewing</c:v>
                </c:pt>
                <c:pt idx="3">
                  <c:v>Offer</c:v>
                </c:pt>
                <c:pt idx="4">
                  <c:v>Background/Onboarding</c:v>
                </c:pt>
              </c:strCache>
            </c:strRef>
          </c:cat>
          <c:val>
            <c:numRef>
              <c:f>Dashboard!$F$9:$J$9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79-41FD-8EBB-E995E1DEE6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0105279"/>
        <c:axId val="1960116095"/>
      </c:barChart>
      <c:catAx>
        <c:axId val="19601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116095"/>
        <c:crosses val="autoZero"/>
        <c:auto val="1"/>
        <c:lblAlgn val="ctr"/>
        <c:lblOffset val="100"/>
        <c:noMultiLvlLbl val="0"/>
      </c:catAx>
      <c:valAx>
        <c:axId val="196011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1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Dashboard!$L$6</c:f>
              <c:strCache>
                <c:ptCount val="1"/>
                <c:pt idx="0">
                  <c:v>Recruiter 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Dashboard!$M$5:$Q$5</c:f>
              <c:strCache>
                <c:ptCount val="5"/>
                <c:pt idx="0">
                  <c:v>Intake</c:v>
                </c:pt>
                <c:pt idx="1">
                  <c:v>Sourcing</c:v>
                </c:pt>
                <c:pt idx="2">
                  <c:v>Interviewing</c:v>
                </c:pt>
                <c:pt idx="3">
                  <c:v>Offer</c:v>
                </c:pt>
                <c:pt idx="4">
                  <c:v>Background/Onboarding</c:v>
                </c:pt>
              </c:strCache>
            </c:strRef>
          </c:cat>
          <c:val>
            <c:numRef>
              <c:f>Dashboard!$M$6:$Q$6</c:f>
              <c:numCache>
                <c:formatCode>0</c:formatCode>
                <c:ptCount val="5"/>
                <c:pt idx="0">
                  <c:v>1311.75</c:v>
                </c:pt>
                <c:pt idx="1">
                  <c:v>1304</c:v>
                </c:pt>
                <c:pt idx="2">
                  <c:v>1310.2</c:v>
                </c:pt>
                <c:pt idx="3">
                  <c:v>1304</c:v>
                </c:pt>
                <c:pt idx="4">
                  <c:v>1310.2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2-4C33-809D-C2A88AE506FC}"/>
            </c:ext>
          </c:extLst>
        </c:ser>
        <c:ser>
          <c:idx val="1"/>
          <c:order val="1"/>
          <c:tx>
            <c:strRef>
              <c:f>Dashboard!$L$7</c:f>
              <c:strCache>
                <c:ptCount val="1"/>
                <c:pt idx="0">
                  <c:v>Recruiter 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Dashboard!$M$5:$Q$5</c:f>
              <c:strCache>
                <c:ptCount val="5"/>
                <c:pt idx="0">
                  <c:v>Intake</c:v>
                </c:pt>
                <c:pt idx="1">
                  <c:v>Sourcing</c:v>
                </c:pt>
                <c:pt idx="2">
                  <c:v>Interviewing</c:v>
                </c:pt>
                <c:pt idx="3">
                  <c:v>Offer</c:v>
                </c:pt>
                <c:pt idx="4">
                  <c:v>Background/Onboarding</c:v>
                </c:pt>
              </c:strCache>
            </c:strRef>
          </c:cat>
          <c:val>
            <c:numRef>
              <c:f>Dashboard!$M$7:$Q$7</c:f>
              <c:numCache>
                <c:formatCode>0</c:formatCode>
                <c:ptCount val="5"/>
                <c:pt idx="0">
                  <c:v>1319.5</c:v>
                </c:pt>
                <c:pt idx="1">
                  <c:v>1296.5</c:v>
                </c:pt>
                <c:pt idx="2">
                  <c:v>1317.1428571428571</c:v>
                </c:pt>
                <c:pt idx="3">
                  <c:v>1304</c:v>
                </c:pt>
                <c:pt idx="4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2-4C33-809D-C2A88AE506FC}"/>
            </c:ext>
          </c:extLst>
        </c:ser>
        <c:ser>
          <c:idx val="2"/>
          <c:order val="2"/>
          <c:tx>
            <c:strRef>
              <c:f>Dashboard!$L$8</c:f>
              <c:strCache>
                <c:ptCount val="1"/>
                <c:pt idx="0">
                  <c:v>Recruiter 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Dashboard!$M$5:$Q$5</c:f>
              <c:strCache>
                <c:ptCount val="5"/>
                <c:pt idx="0">
                  <c:v>Intake</c:v>
                </c:pt>
                <c:pt idx="1">
                  <c:v>Sourcing</c:v>
                </c:pt>
                <c:pt idx="2">
                  <c:v>Interviewing</c:v>
                </c:pt>
                <c:pt idx="3">
                  <c:v>Offer</c:v>
                </c:pt>
                <c:pt idx="4">
                  <c:v>Background/Onboarding</c:v>
                </c:pt>
              </c:strCache>
            </c:strRef>
          </c:cat>
          <c:val>
            <c:numRef>
              <c:f>Dashboard!$M$8:$Q$8</c:f>
              <c:numCache>
                <c:formatCode>0</c:formatCode>
                <c:ptCount val="5"/>
                <c:pt idx="0">
                  <c:v>1304</c:v>
                </c:pt>
                <c:pt idx="1">
                  <c:v>1304</c:v>
                </c:pt>
                <c:pt idx="2">
                  <c:v>1316.2</c:v>
                </c:pt>
                <c:pt idx="3">
                  <c:v>1319.5</c:v>
                </c:pt>
                <c:pt idx="4">
                  <c:v>1304.2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72-4C33-809D-C2A88AE506FC}"/>
            </c:ext>
          </c:extLst>
        </c:ser>
        <c:ser>
          <c:idx val="3"/>
          <c:order val="3"/>
          <c:tx>
            <c:strRef>
              <c:f>Dashboard!$L$9</c:f>
              <c:strCache>
                <c:ptCount val="1"/>
                <c:pt idx="0">
                  <c:v>Recruiter 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Dashboard!$M$5:$Q$5</c:f>
              <c:strCache>
                <c:ptCount val="5"/>
                <c:pt idx="0">
                  <c:v>Intake</c:v>
                </c:pt>
                <c:pt idx="1">
                  <c:v>Sourcing</c:v>
                </c:pt>
                <c:pt idx="2">
                  <c:v>Interviewing</c:v>
                </c:pt>
                <c:pt idx="3">
                  <c:v>Offer</c:v>
                </c:pt>
                <c:pt idx="4">
                  <c:v>Background/Onboarding</c:v>
                </c:pt>
              </c:strCache>
            </c:strRef>
          </c:cat>
          <c:val>
            <c:numRef>
              <c:f>Dashboard!$M$9:$Q$9</c:f>
              <c:numCache>
                <c:formatCode>0</c:formatCode>
                <c:ptCount val="5"/>
                <c:pt idx="0">
                  <c:v>1310.2</c:v>
                </c:pt>
                <c:pt idx="1">
                  <c:v>1294</c:v>
                </c:pt>
                <c:pt idx="2">
                  <c:v>1304</c:v>
                </c:pt>
                <c:pt idx="3">
                  <c:v>1334.5</c:v>
                </c:pt>
                <c:pt idx="4">
                  <c:v>1309.1666666666667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72-4C33-809D-C2A88AE50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3562143"/>
        <c:axId val="2023557151"/>
      </c:barChart>
      <c:catAx>
        <c:axId val="202356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57151"/>
        <c:crosses val="autoZero"/>
        <c:auto val="1"/>
        <c:lblAlgn val="ctr"/>
        <c:lblOffset val="100"/>
        <c:noMultiLvlLbl val="0"/>
      </c:catAx>
      <c:valAx>
        <c:axId val="202355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6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9</xdr:row>
      <xdr:rowOff>15240</xdr:rowOff>
    </xdr:from>
    <xdr:to>
      <xdr:col>3</xdr:col>
      <xdr:colOff>7620</xdr:colOff>
      <xdr:row>25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261937</xdr:colOff>
      <xdr:row>12</xdr:row>
      <xdr:rowOff>106680</xdr:rowOff>
    </xdr:from>
    <xdr:to>
      <xdr:col>9</xdr:col>
      <xdr:colOff>1622107</xdr:colOff>
      <xdr:row>29</xdr:row>
      <xdr:rowOff>21907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9</xdr:row>
      <xdr:rowOff>38100</xdr:rowOff>
    </xdr:from>
    <xdr:to>
      <xdr:col>17</xdr:col>
      <xdr:colOff>7620</xdr:colOff>
      <xdr:row>25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22492</xdr:colOff>
      <xdr:row>0</xdr:row>
      <xdr:rowOff>30480</xdr:rowOff>
    </xdr:from>
    <xdr:to>
      <xdr:col>3</xdr:col>
      <xdr:colOff>76199</xdr:colOff>
      <xdr:row>6</xdr:row>
      <xdr:rowOff>160020</xdr:rowOff>
    </xdr:to>
    <xdr:pic>
      <xdr:nvPicPr>
        <xdr:cNvPr id="4" name="Picture 3" descr="See The Whole Picture In One Place - Recruitment Icon PNG Image |  Transparent PNG Free Download on Seek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1317" t="11873" r="31415" b="11610"/>
        <a:stretch/>
      </xdr:blipFill>
      <xdr:spPr bwMode="auto">
        <a:xfrm>
          <a:off x="98692" y="30480"/>
          <a:ext cx="1425307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22492</xdr:colOff>
      <xdr:row>0</xdr:row>
      <xdr:rowOff>30480</xdr:rowOff>
    </xdr:from>
    <xdr:to>
      <xdr:col>3</xdr:col>
      <xdr:colOff>76199</xdr:colOff>
      <xdr:row>6</xdr:row>
      <xdr:rowOff>160020</xdr:rowOff>
    </xdr:to>
    <xdr:pic>
      <xdr:nvPicPr>
        <xdr:cNvPr id="2" name="Picture 1" descr="See The Whole Picture In One Place - Recruitment Icon PNG Image |  Transparent PNG Free Download on Seek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1317" t="11873" r="31415" b="11610"/>
        <a:stretch/>
      </xdr:blipFill>
      <xdr:spPr bwMode="auto">
        <a:xfrm>
          <a:off x="98692" y="30480"/>
          <a:ext cx="1425307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22492</xdr:colOff>
      <xdr:row>0</xdr:row>
      <xdr:rowOff>30480</xdr:rowOff>
    </xdr:from>
    <xdr:to>
      <xdr:col>3</xdr:col>
      <xdr:colOff>76199</xdr:colOff>
      <xdr:row>6</xdr:row>
      <xdr:rowOff>160020</xdr:rowOff>
    </xdr:to>
    <xdr:pic>
      <xdr:nvPicPr>
        <xdr:cNvPr id="2" name="Picture 1" descr="See The Whole Picture In One Place - Recruitment Icon PNG Image |  Transparent PNG Free Download on Seek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1317" t="11873" r="31415" b="11610"/>
        <a:stretch/>
      </xdr:blipFill>
      <xdr:spPr bwMode="auto">
        <a:xfrm>
          <a:off x="98692" y="30480"/>
          <a:ext cx="1425307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22492</xdr:colOff>
      <xdr:row>0</xdr:row>
      <xdr:rowOff>30480</xdr:rowOff>
    </xdr:from>
    <xdr:to>
      <xdr:col>3</xdr:col>
      <xdr:colOff>76199</xdr:colOff>
      <xdr:row>6</xdr:row>
      <xdr:rowOff>160020</xdr:rowOff>
    </xdr:to>
    <xdr:pic>
      <xdr:nvPicPr>
        <xdr:cNvPr id="2" name="Picture 1" descr="See The Whole Picture In One Place - Recruitment Icon PNG Image |  Transparent PNG Free Download on Seek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1317" t="11873" r="31415" b="11610"/>
        <a:stretch/>
      </xdr:blipFill>
      <xdr:spPr bwMode="auto">
        <a:xfrm>
          <a:off x="98692" y="30480"/>
          <a:ext cx="1425307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8:I29" totalsRowShown="0" headerRowDxfId="55" dataDxfId="54">
  <tableColumns count="8">
    <tableColumn id="1" xr3:uid="{00000000-0010-0000-0000-000001000000}" name="S.No" dataDxfId="53"/>
    <tableColumn id="2" xr3:uid="{00000000-0010-0000-0000-000002000000}" name="Position ID" dataDxfId="52"/>
    <tableColumn id="3" xr3:uid="{00000000-0010-0000-0000-000003000000}" name="Title" dataDxfId="51"/>
    <tableColumn id="4" xr3:uid="{00000000-0010-0000-0000-000004000000}" name="Hiring Manager" dataDxfId="50"/>
    <tableColumn id="5" xr3:uid="{00000000-0010-0000-0000-000005000000}" name="Stage" dataDxfId="49"/>
    <tableColumn id="8" xr3:uid="{00000000-0010-0000-0000-000008000000}" name="Created Date" dataDxfId="48"/>
    <tableColumn id="6" xr3:uid="{00000000-0010-0000-0000-000006000000}" name="Open Days" dataDxfId="47">
      <calculatedColumnFormula>TODAY()-Table1[[#This Row],[Created Date]]</calculatedColumnFormula>
    </tableColumn>
    <tableColumn id="7" xr3:uid="{00000000-0010-0000-0000-000007000000}" name="Notes" dataDxfId="4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B8:I29" totalsRowShown="0" headerRowDxfId="45" dataDxfId="44">
  <tableColumns count="8">
    <tableColumn id="1" xr3:uid="{00000000-0010-0000-0100-000001000000}" name="S.No" dataDxfId="43"/>
    <tableColumn id="2" xr3:uid="{00000000-0010-0000-0100-000002000000}" name="Position ID" dataDxfId="42"/>
    <tableColumn id="3" xr3:uid="{00000000-0010-0000-0100-000003000000}" name="Title" dataDxfId="41"/>
    <tableColumn id="4" xr3:uid="{00000000-0010-0000-0100-000004000000}" name="Hiring Manager" dataDxfId="40"/>
    <tableColumn id="5" xr3:uid="{00000000-0010-0000-0100-000005000000}" name="Stage" dataDxfId="39"/>
    <tableColumn id="8" xr3:uid="{00000000-0010-0000-0100-000008000000}" name="Created Date" dataDxfId="38"/>
    <tableColumn id="6" xr3:uid="{00000000-0010-0000-0100-000006000000}" name="Open Days" dataDxfId="37"/>
    <tableColumn id="7" xr3:uid="{00000000-0010-0000-0100-000007000000}" name="Notes" dataDxfId="36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B8:I31" totalsRowShown="0" headerRowDxfId="35" dataDxfId="34">
  <tableColumns count="8">
    <tableColumn id="1" xr3:uid="{00000000-0010-0000-0200-000001000000}" name="S.No" dataDxfId="33"/>
    <tableColumn id="2" xr3:uid="{00000000-0010-0000-0200-000002000000}" name="Position ID" dataDxfId="32"/>
    <tableColumn id="3" xr3:uid="{00000000-0010-0000-0200-000003000000}" name="Title" dataDxfId="31"/>
    <tableColumn id="4" xr3:uid="{00000000-0010-0000-0200-000004000000}" name="Hiring Manager" dataDxfId="30"/>
    <tableColumn id="5" xr3:uid="{00000000-0010-0000-0200-000005000000}" name="Stage" dataDxfId="29"/>
    <tableColumn id="8" xr3:uid="{00000000-0010-0000-0200-000008000000}" name="Created Date" dataDxfId="28"/>
    <tableColumn id="6" xr3:uid="{00000000-0010-0000-0200-000006000000}" name="Open Days" dataDxfId="27"/>
    <tableColumn id="7" xr3:uid="{00000000-0010-0000-0200-000007000000}" name="Notes" dataDxfId="26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45" displayName="Table145" ref="B8:I29" totalsRowShown="0" headerRowDxfId="25" dataDxfId="24">
  <tableColumns count="8">
    <tableColumn id="1" xr3:uid="{00000000-0010-0000-0300-000001000000}" name="S.No" dataDxfId="23"/>
    <tableColumn id="2" xr3:uid="{00000000-0010-0000-0300-000002000000}" name="Position ID" dataDxfId="22"/>
    <tableColumn id="3" xr3:uid="{00000000-0010-0000-0300-000003000000}" name="Title" dataDxfId="21"/>
    <tableColumn id="4" xr3:uid="{00000000-0010-0000-0300-000004000000}" name="Hiring Manager" dataDxfId="20"/>
    <tableColumn id="5" xr3:uid="{00000000-0010-0000-0300-000005000000}" name="Stage" dataDxfId="19"/>
    <tableColumn id="8" xr3:uid="{00000000-0010-0000-0300-000008000000}" name="Created Date" dataDxfId="18"/>
    <tableColumn id="6" xr3:uid="{00000000-0010-0000-0300-000006000000}" name="Open Days" dataDxfId="17"/>
    <tableColumn id="7" xr3:uid="{00000000-0010-0000-0300-000007000000}" name="Notes" dataDxfId="16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"/>
  <sheetViews>
    <sheetView showGridLines="0" tabSelected="1" zoomScaleNormal="100" workbookViewId="0">
      <selection activeCell="I2" sqref="I2"/>
    </sheetView>
  </sheetViews>
  <sheetFormatPr defaultColWidth="8.86328125" defaultRowHeight="13.9" x14ac:dyDescent="0.4"/>
  <cols>
    <col min="1" max="1" width="1.19921875" style="1" customWidth="1"/>
    <col min="2" max="2" width="18.86328125" style="1" customWidth="1"/>
    <col min="3" max="3" width="18.86328125" style="2" customWidth="1"/>
    <col min="4" max="4" width="3.86328125" style="1" customWidth="1"/>
    <col min="5" max="5" width="14.6640625" style="1" bestFit="1" customWidth="1"/>
    <col min="6" max="6" width="8.86328125" style="1"/>
    <col min="7" max="7" width="10.46484375" style="1" customWidth="1"/>
    <col min="8" max="8" width="12.6640625" style="1" customWidth="1"/>
    <col min="9" max="9" width="11.1328125" style="1" customWidth="1"/>
    <col min="10" max="10" width="22.796875" style="1" customWidth="1"/>
    <col min="11" max="11" width="3.86328125" style="1" customWidth="1"/>
    <col min="12" max="12" width="13.1328125" style="1" customWidth="1"/>
    <col min="13" max="17" width="12.796875" style="1" customWidth="1"/>
    <col min="18" max="16384" width="8.86328125" style="1"/>
  </cols>
  <sheetData>
    <row r="1" spans="2:17" x14ac:dyDescent="0.4">
      <c r="B1" s="16" t="s">
        <v>42</v>
      </c>
      <c r="C1" s="16"/>
    </row>
    <row r="2" spans="2:17" ht="15.6" customHeight="1" x14ac:dyDescent="0.4">
      <c r="B2" s="16"/>
      <c r="C2" s="16"/>
    </row>
    <row r="4" spans="2:17" ht="23.45" customHeight="1" x14ac:dyDescent="0.4">
      <c r="B4" s="18" t="s">
        <v>43</v>
      </c>
      <c r="C4" s="18"/>
      <c r="D4" s="3"/>
      <c r="E4" s="17" t="s">
        <v>44</v>
      </c>
      <c r="F4" s="17"/>
      <c r="G4" s="17"/>
      <c r="H4" s="17"/>
      <c r="I4" s="17"/>
      <c r="J4" s="17"/>
      <c r="K4" s="3"/>
      <c r="L4" s="19" t="s">
        <v>45</v>
      </c>
      <c r="M4" s="19"/>
      <c r="N4" s="19"/>
      <c r="O4" s="19"/>
      <c r="P4" s="19"/>
      <c r="Q4" s="19"/>
    </row>
    <row r="5" spans="2:17" ht="28.8" customHeight="1" x14ac:dyDescent="0.4">
      <c r="B5" s="14" t="s">
        <v>31</v>
      </c>
      <c r="C5" s="14" t="s">
        <v>30</v>
      </c>
      <c r="E5" s="10" t="s">
        <v>31</v>
      </c>
      <c r="F5" s="10" t="s">
        <v>36</v>
      </c>
      <c r="G5" s="11" t="s">
        <v>37</v>
      </c>
      <c r="H5" s="10" t="s">
        <v>38</v>
      </c>
      <c r="I5" s="11" t="s">
        <v>39</v>
      </c>
      <c r="J5" s="11" t="s">
        <v>6</v>
      </c>
      <c r="L5" s="12" t="s">
        <v>31</v>
      </c>
      <c r="M5" s="12" t="s">
        <v>36</v>
      </c>
      <c r="N5" s="13" t="s">
        <v>37</v>
      </c>
      <c r="O5" s="12" t="s">
        <v>38</v>
      </c>
      <c r="P5" s="13" t="s">
        <v>39</v>
      </c>
      <c r="Q5" s="13" t="s">
        <v>6</v>
      </c>
    </row>
    <row r="6" spans="2:17" ht="24" customHeight="1" x14ac:dyDescent="0.4">
      <c r="B6" s="7" t="s">
        <v>32</v>
      </c>
      <c r="C6" s="7">
        <f>COUNTIF(Table1[Position ID],"*")</f>
        <v>21</v>
      </c>
      <c r="E6" s="8" t="s">
        <v>32</v>
      </c>
      <c r="F6" s="8">
        <f>COUNTIF(Table1[Stage],Dashboard!$F$5)</f>
        <v>4</v>
      </c>
      <c r="G6" s="8">
        <f>COUNTIF(Table1[Stage],Dashboard!$G$5)</f>
        <v>4</v>
      </c>
      <c r="H6" s="8">
        <f>COUNTIF(Table1[Stage],Dashboard!$H$5)</f>
        <v>5</v>
      </c>
      <c r="I6" s="8">
        <f>COUNTIF(Table1[Stage],Dashboard!$I$5)</f>
        <v>3</v>
      </c>
      <c r="J6" s="8">
        <f>COUNTIF(Table1[Stage],Dashboard!$J$5)</f>
        <v>5</v>
      </c>
      <c r="L6" s="8" t="s">
        <v>32</v>
      </c>
      <c r="M6" s="9">
        <f ca="1">SUMIF(Table1[Stage],Dashboard!$M$5,Table1[Open Days])/COUNTIF(Table1[Stage],Dashboard!$M$5)</f>
        <v>1311.75</v>
      </c>
      <c r="N6" s="9">
        <f ca="1">SUMIF(Table1[Stage],Dashboard!$N$5,Table1[Open Days])/COUNTIF(Table1[Stage],Dashboard!$N$5)</f>
        <v>1304</v>
      </c>
      <c r="O6" s="9">
        <f ca="1">SUMIF(Table1[Stage],Dashboard!$O$5,Table1[Open Days])/COUNTIF(Table1[Stage],Dashboard!$O$5)</f>
        <v>1310.2</v>
      </c>
      <c r="P6" s="9">
        <f ca="1">SUMIF(Table1[Stage],Dashboard!$P$5,Table1[Open Days])/COUNTIF(Table1[Stage],Dashboard!$P$5)</f>
        <v>1304</v>
      </c>
      <c r="Q6" s="9">
        <f ca="1">SUMIF(Table1[Stage],Dashboard!$Q$5,Table1[Open Days])/COUNTIF(Table1[Stage],Dashboard!$Q$5)</f>
        <v>1310.2</v>
      </c>
    </row>
    <row r="7" spans="2:17" ht="24" customHeight="1" x14ac:dyDescent="0.4">
      <c r="B7" s="7" t="s">
        <v>33</v>
      </c>
      <c r="C7" s="7">
        <f>COUNTIF(Table13[Position ID],"*")</f>
        <v>20</v>
      </c>
      <c r="E7" s="8" t="s">
        <v>33</v>
      </c>
      <c r="F7" s="8">
        <f>COUNTIF(Table13[Stage],Dashboard!$F$5)</f>
        <v>2</v>
      </c>
      <c r="G7" s="8">
        <f>COUNTIF(Table13[Stage],Dashboard!$G$5)</f>
        <v>4</v>
      </c>
      <c r="H7" s="8">
        <f>COUNTIF(Table13[Stage],Dashboard!$H$5)</f>
        <v>7</v>
      </c>
      <c r="I7" s="8">
        <f>COUNTIF(Table13[Stage],Dashboard!$I$5)</f>
        <v>2</v>
      </c>
      <c r="J7" s="8">
        <f>COUNTIF(Table13[Stage],Dashboard!$J$5)</f>
        <v>5</v>
      </c>
      <c r="L7" s="8" t="s">
        <v>33</v>
      </c>
      <c r="M7" s="9">
        <f ca="1">SUMIF(Table13[Stage],Dashboard!$M$5,Table13[Open Days])/COUNTIF(Table13[Stage],Dashboard!$M$5)</f>
        <v>1319.5</v>
      </c>
      <c r="N7" s="9">
        <f ca="1">SUMIF(Table13[Stage],Dashboard!$N$5,Table13[Open Days])/COUNTIF(Table13[Stage],Dashboard!$N$5)</f>
        <v>1296.5</v>
      </c>
      <c r="O7" s="9">
        <f ca="1">SUMIF(Table13[Stage],Dashboard!$O$5,Table13[Open Days])/COUNTIF(Table13[Stage],Dashboard!$O$5)</f>
        <v>1317.1428571428571</v>
      </c>
      <c r="P7" s="9">
        <f ca="1">SUMIF(Table13[Stage],Dashboard!$P$5,Table13[Open Days])/COUNTIF(Table13[Stage],Dashboard!$P$5)</f>
        <v>1304</v>
      </c>
      <c r="Q7" s="9">
        <f ca="1">SUMIF(Table13[Stage],Dashboard!$Q$5,Table13[Open Days])/COUNTIF(Table13[Stage],Dashboard!$Q$5)</f>
        <v>1304</v>
      </c>
    </row>
    <row r="8" spans="2:17" ht="24" customHeight="1" x14ac:dyDescent="0.4">
      <c r="B8" s="7" t="s">
        <v>34</v>
      </c>
      <c r="C8" s="7">
        <f>COUNTIF(Table14[Position ID],"*")</f>
        <v>23</v>
      </c>
      <c r="E8" s="8" t="s">
        <v>34</v>
      </c>
      <c r="F8" s="8">
        <f>COUNTIF(Table14[Stage],Dashboard!$F$5)</f>
        <v>3</v>
      </c>
      <c r="G8" s="8">
        <f>COUNTIF(Table14[Stage],Dashboard!$G$5)</f>
        <v>5</v>
      </c>
      <c r="H8" s="8">
        <f>COUNTIF(Table14[Stage],Dashboard!$H$5)</f>
        <v>5</v>
      </c>
      <c r="I8" s="8">
        <f>COUNTIF(Table14[Stage],Dashboard!$I$5)</f>
        <v>2</v>
      </c>
      <c r="J8" s="8">
        <f>COUNTIF(Table14[Stage],Dashboard!$J$5)</f>
        <v>5</v>
      </c>
      <c r="L8" s="8" t="s">
        <v>34</v>
      </c>
      <c r="M8" s="9">
        <f ca="1">SUMIF(Table14[Stage],Dashboard!$M$5,Table14[Open Days])/COUNTIF(Table14[Stage],Dashboard!$M$5)</f>
        <v>1304</v>
      </c>
      <c r="N8" s="9">
        <f ca="1">SUMIF(Table14[Stage],Dashboard!$N$5,Table14[Open Days])/COUNTIF(Table14[Stage],Dashboard!$N$5)</f>
        <v>1304</v>
      </c>
      <c r="O8" s="9">
        <f ca="1">SUMIF(Table14[Stage],Dashboard!$O$5,Table14[Open Days])/COUNTIF(Table14[Stage],Dashboard!$O$5)</f>
        <v>1316.2</v>
      </c>
      <c r="P8" s="9">
        <f ca="1">SUMIF(Table14[Stage],Dashboard!$P$5,Table14[Open Days])/COUNTIF(Table14[Stage],Dashboard!$P$5)</f>
        <v>1319.5</v>
      </c>
      <c r="Q8" s="9">
        <f ca="1">SUMIF(Table14[Stage],Dashboard!$Q$5,Table14[Open Days])/COUNTIF(Table14[Stage],Dashboard!$Q$5)</f>
        <v>1304.2</v>
      </c>
    </row>
    <row r="9" spans="2:17" ht="24" customHeight="1" x14ac:dyDescent="0.4">
      <c r="B9" s="7" t="s">
        <v>35</v>
      </c>
      <c r="C9" s="7">
        <f>COUNTIF(Table145[Position ID],"*")</f>
        <v>20</v>
      </c>
      <c r="E9" s="8" t="s">
        <v>35</v>
      </c>
      <c r="F9" s="8">
        <f>COUNTIF(Table145[Stage],Dashboard!$F$5)</f>
        <v>5</v>
      </c>
      <c r="G9" s="8">
        <f>COUNTIF(Table145[Stage],Dashboard!$G$5)</f>
        <v>3</v>
      </c>
      <c r="H9" s="8">
        <f>COUNTIF(Table145[Stage],Dashboard!$H$5)</f>
        <v>4</v>
      </c>
      <c r="I9" s="8">
        <f>COUNTIF(Table145[Stage],Dashboard!$I$5)</f>
        <v>2</v>
      </c>
      <c r="J9" s="8">
        <f>COUNTIF(Table145[Stage],Dashboard!$J$5)</f>
        <v>6</v>
      </c>
      <c r="L9" s="8" t="s">
        <v>35</v>
      </c>
      <c r="M9" s="9">
        <f ca="1">SUMIF(Table145[Stage],Dashboard!$M$5,Table145[Open Days])/COUNTIF(Table145[Stage],Dashboard!$M$5)</f>
        <v>1310.2</v>
      </c>
      <c r="N9" s="9">
        <f ca="1">SUMIF(Table145[Stage],Dashboard!$N$5,Table145[Open Days])/COUNTIF(Table145[Stage],Dashboard!$N$5)</f>
        <v>1294</v>
      </c>
      <c r="O9" s="9">
        <f ca="1">SUMIF(Table145[Stage],Dashboard!$O$5,Table145[Open Days])/COUNTIF(Table145[Stage],Dashboard!$O$5)</f>
        <v>1304</v>
      </c>
      <c r="P9" s="9">
        <f ca="1">SUMIF(Table145[Stage],Dashboard!$P$5,Table145[Open Days])/COUNTIF(Table145[Stage],Dashboard!$P$5)</f>
        <v>1334.5</v>
      </c>
      <c r="Q9" s="9">
        <f ca="1">SUMIF(Table145[Stage],Dashboard!$Q$5,Table145[Open Days])/COUNTIF(Table145[Stage],Dashboard!$Q$5)</f>
        <v>1309.1666666666667</v>
      </c>
    </row>
  </sheetData>
  <mergeCells count="4">
    <mergeCell ref="B1:C2"/>
    <mergeCell ref="E4:J4"/>
    <mergeCell ref="B4:C4"/>
    <mergeCell ref="L4:Q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9"/>
  <sheetViews>
    <sheetView showGridLines="0" workbookViewId="0">
      <pane ySplit="8" topLeftCell="A9" activePane="bottomLeft" state="frozen"/>
      <selection pane="bottomLeft" activeCell="F13" sqref="F13"/>
    </sheetView>
  </sheetViews>
  <sheetFormatPr defaultColWidth="8.86328125" defaultRowHeight="25.05" customHeight="1" x14ac:dyDescent="0.45"/>
  <cols>
    <col min="1" max="1" width="1.1328125" style="3" customWidth="1"/>
    <col min="2" max="2" width="5.53125" style="2" customWidth="1"/>
    <col min="3" max="3" width="14.46484375" style="2" customWidth="1"/>
    <col min="4" max="4" width="41.19921875" style="3" customWidth="1"/>
    <col min="5" max="5" width="16.6640625" style="2" customWidth="1"/>
    <col min="6" max="6" width="24.46484375" style="2" customWidth="1"/>
    <col min="7" max="7" width="12.33203125" style="2" bestFit="1" customWidth="1"/>
    <col min="8" max="8" width="13.33203125" style="2" customWidth="1"/>
    <col min="9" max="9" width="83.6640625" style="4" customWidth="1"/>
    <col min="10" max="10" width="1.1328125" style="3" customWidth="1"/>
    <col min="11" max="16384" width="8.86328125" style="3"/>
  </cols>
  <sheetData>
    <row r="1" spans="2:9" ht="13.9" x14ac:dyDescent="0.45"/>
    <row r="2" spans="2:9" ht="13.9" x14ac:dyDescent="0.45"/>
    <row r="3" spans="2:9" ht="13.9" x14ac:dyDescent="0.45"/>
    <row r="4" spans="2:9" ht="13.9" x14ac:dyDescent="0.45"/>
    <row r="5" spans="2:9" ht="13.9" x14ac:dyDescent="0.45"/>
    <row r="6" spans="2:9" ht="13.9" x14ac:dyDescent="0.45"/>
    <row r="7" spans="2:9" ht="13.9" x14ac:dyDescent="0.45"/>
    <row r="8" spans="2:9" ht="28.8" customHeight="1" x14ac:dyDescent="0.45">
      <c r="B8" s="5" t="s">
        <v>0</v>
      </c>
      <c r="C8" s="5" t="s">
        <v>1</v>
      </c>
      <c r="D8" s="5" t="s">
        <v>2</v>
      </c>
      <c r="E8" s="5" t="s">
        <v>3</v>
      </c>
      <c r="F8" s="5" t="s">
        <v>46</v>
      </c>
      <c r="G8" s="5" t="s">
        <v>51</v>
      </c>
      <c r="H8" s="5" t="s">
        <v>4</v>
      </c>
      <c r="I8" s="6" t="s">
        <v>5</v>
      </c>
    </row>
    <row r="9" spans="2:9" ht="25.05" customHeight="1" x14ac:dyDescent="0.45">
      <c r="B9" s="2">
        <v>1</v>
      </c>
      <c r="C9" s="2" t="s">
        <v>7</v>
      </c>
      <c r="D9" s="3" t="s">
        <v>27</v>
      </c>
      <c r="F9" s="2" t="s">
        <v>6</v>
      </c>
      <c r="G9" s="15">
        <v>44727</v>
      </c>
      <c r="H9" s="2">
        <f ca="1">TODAY()-Table1[[#This Row],[Created Date]]</f>
        <v>1304</v>
      </c>
    </row>
    <row r="10" spans="2:9" ht="25.05" customHeight="1" x14ac:dyDescent="0.45">
      <c r="B10" s="2">
        <f>B9+1</f>
        <v>2</v>
      </c>
      <c r="C10" s="2" t="s">
        <v>8</v>
      </c>
      <c r="D10" s="3" t="s">
        <v>28</v>
      </c>
      <c r="F10" s="2" t="s">
        <v>36</v>
      </c>
      <c r="G10" s="15">
        <v>44696</v>
      </c>
      <c r="H10" s="2">
        <f ca="1">TODAY()-Table1[[#This Row],[Created Date]]</f>
        <v>1335</v>
      </c>
    </row>
    <row r="11" spans="2:9" ht="25.05" customHeight="1" x14ac:dyDescent="0.45">
      <c r="B11" s="2">
        <f t="shared" ref="B11:B29" si="0">B10+1</f>
        <v>3</v>
      </c>
      <c r="C11" s="2" t="s">
        <v>9</v>
      </c>
      <c r="D11" s="3" t="s">
        <v>29</v>
      </c>
      <c r="F11" s="2" t="s">
        <v>38</v>
      </c>
      <c r="G11" s="15">
        <v>44757</v>
      </c>
      <c r="H11" s="2">
        <f ca="1">TODAY()-Table1[[#This Row],[Created Date]]</f>
        <v>1274</v>
      </c>
    </row>
    <row r="12" spans="2:9" ht="25.05" customHeight="1" x14ac:dyDescent="0.45">
      <c r="B12" s="2">
        <f t="shared" si="0"/>
        <v>4</v>
      </c>
      <c r="C12" s="2" t="s">
        <v>10</v>
      </c>
      <c r="D12" s="3" t="s">
        <v>40</v>
      </c>
      <c r="F12" s="2" t="s">
        <v>38</v>
      </c>
      <c r="G12" s="15">
        <v>44666</v>
      </c>
      <c r="H12" s="2">
        <f ca="1">TODAY()-Table1[[#This Row],[Created Date]]</f>
        <v>1365</v>
      </c>
    </row>
    <row r="13" spans="2:9" ht="25.05" customHeight="1" x14ac:dyDescent="0.45">
      <c r="B13" s="2">
        <f t="shared" si="0"/>
        <v>5</v>
      </c>
      <c r="C13" s="2" t="s">
        <v>11</v>
      </c>
      <c r="D13" s="3" t="s">
        <v>41</v>
      </c>
      <c r="F13" s="2" t="s">
        <v>37</v>
      </c>
      <c r="G13" s="15">
        <v>44727</v>
      </c>
      <c r="H13" s="2">
        <f ca="1">TODAY()-Table1[[#This Row],[Created Date]]</f>
        <v>1304</v>
      </c>
    </row>
    <row r="14" spans="2:9" ht="25.05" customHeight="1" x14ac:dyDescent="0.45">
      <c r="B14" s="2">
        <f t="shared" si="0"/>
        <v>6</v>
      </c>
      <c r="C14" s="2" t="s">
        <v>12</v>
      </c>
      <c r="D14" s="3" t="s">
        <v>27</v>
      </c>
      <c r="F14" s="2" t="s">
        <v>6</v>
      </c>
      <c r="G14" s="15">
        <v>44727</v>
      </c>
      <c r="H14" s="2">
        <f ca="1">TODAY()-Table1[[#This Row],[Created Date]]</f>
        <v>1304</v>
      </c>
    </row>
    <row r="15" spans="2:9" ht="25.05" customHeight="1" x14ac:dyDescent="0.45">
      <c r="B15" s="2">
        <f t="shared" si="0"/>
        <v>7</v>
      </c>
      <c r="C15" s="2" t="s">
        <v>13</v>
      </c>
      <c r="D15" s="3" t="s">
        <v>28</v>
      </c>
      <c r="F15" s="2" t="s">
        <v>38</v>
      </c>
      <c r="G15" s="15">
        <v>44727</v>
      </c>
      <c r="H15" s="2">
        <f ca="1">TODAY()-Table1[[#This Row],[Created Date]]</f>
        <v>1304</v>
      </c>
    </row>
    <row r="16" spans="2:9" ht="25.05" customHeight="1" x14ac:dyDescent="0.45">
      <c r="B16" s="2">
        <f t="shared" si="0"/>
        <v>8</v>
      </c>
      <c r="C16" s="2" t="s">
        <v>14</v>
      </c>
      <c r="D16" s="3" t="s">
        <v>29</v>
      </c>
      <c r="F16" s="2" t="s">
        <v>36</v>
      </c>
      <c r="G16" s="15">
        <v>44727</v>
      </c>
      <c r="H16" s="2">
        <f ca="1">TODAY()-Table1[[#This Row],[Created Date]]</f>
        <v>1304</v>
      </c>
    </row>
    <row r="17" spans="2:8" ht="25.05" customHeight="1" x14ac:dyDescent="0.45">
      <c r="B17" s="2">
        <f t="shared" si="0"/>
        <v>9</v>
      </c>
      <c r="C17" s="2" t="s">
        <v>15</v>
      </c>
      <c r="D17" s="3" t="s">
        <v>40</v>
      </c>
      <c r="F17" s="2" t="s">
        <v>36</v>
      </c>
      <c r="G17" s="15">
        <v>44727</v>
      </c>
      <c r="H17" s="2">
        <f ca="1">TODAY()-Table1[[#This Row],[Created Date]]</f>
        <v>1304</v>
      </c>
    </row>
    <row r="18" spans="2:8" ht="25.05" customHeight="1" x14ac:dyDescent="0.45">
      <c r="B18" s="2">
        <f t="shared" si="0"/>
        <v>10</v>
      </c>
      <c r="C18" s="2" t="s">
        <v>16</v>
      </c>
      <c r="D18" s="3" t="s">
        <v>41</v>
      </c>
      <c r="F18" s="2" t="s">
        <v>6</v>
      </c>
      <c r="G18" s="15">
        <v>44696</v>
      </c>
      <c r="H18" s="2">
        <f ca="1">TODAY()-Table1[[#This Row],[Created Date]]</f>
        <v>1335</v>
      </c>
    </row>
    <row r="19" spans="2:8" ht="25.05" customHeight="1" x14ac:dyDescent="0.45">
      <c r="B19" s="2">
        <f t="shared" si="0"/>
        <v>11</v>
      </c>
      <c r="C19" s="2" t="s">
        <v>17</v>
      </c>
      <c r="D19" s="3" t="s">
        <v>27</v>
      </c>
      <c r="F19" s="2" t="s">
        <v>38</v>
      </c>
      <c r="G19" s="15">
        <v>44727</v>
      </c>
      <c r="H19" s="2">
        <f ca="1">TODAY()-Table1[[#This Row],[Created Date]]</f>
        <v>1304</v>
      </c>
    </row>
    <row r="20" spans="2:8" ht="25.05" customHeight="1" x14ac:dyDescent="0.45">
      <c r="B20" s="2">
        <f t="shared" si="0"/>
        <v>12</v>
      </c>
      <c r="C20" s="2" t="s">
        <v>18</v>
      </c>
      <c r="D20" s="3" t="s">
        <v>28</v>
      </c>
      <c r="F20" s="2" t="s">
        <v>6</v>
      </c>
      <c r="G20" s="15">
        <v>44727</v>
      </c>
      <c r="H20" s="2">
        <f ca="1">TODAY()-Table1[[#This Row],[Created Date]]</f>
        <v>1304</v>
      </c>
    </row>
    <row r="21" spans="2:8" ht="25.05" customHeight="1" x14ac:dyDescent="0.45">
      <c r="B21" s="2">
        <f t="shared" si="0"/>
        <v>13</v>
      </c>
      <c r="C21" s="2" t="s">
        <v>19</v>
      </c>
      <c r="D21" s="3" t="s">
        <v>29</v>
      </c>
      <c r="F21" s="2" t="s">
        <v>38</v>
      </c>
      <c r="G21" s="15">
        <v>44727</v>
      </c>
      <c r="H21" s="2">
        <f ca="1">TODAY()-Table1[[#This Row],[Created Date]]</f>
        <v>1304</v>
      </c>
    </row>
    <row r="22" spans="2:8" ht="25.05" customHeight="1" x14ac:dyDescent="0.45">
      <c r="B22" s="2">
        <f t="shared" si="0"/>
        <v>14</v>
      </c>
      <c r="C22" s="2" t="s">
        <v>20</v>
      </c>
      <c r="D22" s="3" t="s">
        <v>40</v>
      </c>
      <c r="F22" s="2" t="s">
        <v>6</v>
      </c>
      <c r="G22" s="15">
        <v>44727</v>
      </c>
      <c r="H22" s="2">
        <f ca="1">TODAY()-Table1[[#This Row],[Created Date]]</f>
        <v>1304</v>
      </c>
    </row>
    <row r="23" spans="2:8" ht="25.05" customHeight="1" x14ac:dyDescent="0.45">
      <c r="B23" s="2">
        <f t="shared" si="0"/>
        <v>15</v>
      </c>
      <c r="C23" s="2" t="s">
        <v>21</v>
      </c>
      <c r="D23" s="3" t="s">
        <v>41</v>
      </c>
      <c r="F23" s="2" t="s">
        <v>37</v>
      </c>
      <c r="G23" s="15">
        <v>44727</v>
      </c>
      <c r="H23" s="2">
        <f ca="1">TODAY()-Table1[[#This Row],[Created Date]]</f>
        <v>1304</v>
      </c>
    </row>
    <row r="24" spans="2:8" ht="25.05" customHeight="1" x14ac:dyDescent="0.45">
      <c r="B24" s="2">
        <f t="shared" si="0"/>
        <v>16</v>
      </c>
      <c r="C24" s="2" t="s">
        <v>22</v>
      </c>
      <c r="D24" s="3" t="s">
        <v>27</v>
      </c>
      <c r="F24" s="2" t="s">
        <v>39</v>
      </c>
      <c r="G24" s="15">
        <v>44727</v>
      </c>
      <c r="H24" s="2">
        <f ca="1">TODAY()-Table1[[#This Row],[Created Date]]</f>
        <v>1304</v>
      </c>
    </row>
    <row r="25" spans="2:8" ht="25.05" customHeight="1" x14ac:dyDescent="0.45">
      <c r="B25" s="2">
        <f t="shared" si="0"/>
        <v>17</v>
      </c>
      <c r="C25" s="2" t="s">
        <v>23</v>
      </c>
      <c r="D25" s="3" t="s">
        <v>28</v>
      </c>
      <c r="F25" s="2" t="s">
        <v>36</v>
      </c>
      <c r="G25" s="15">
        <v>44727</v>
      </c>
      <c r="H25" s="2">
        <f ca="1">TODAY()-Table1[[#This Row],[Created Date]]</f>
        <v>1304</v>
      </c>
    </row>
    <row r="26" spans="2:8" ht="25.05" customHeight="1" x14ac:dyDescent="0.45">
      <c r="B26" s="2">
        <f t="shared" si="0"/>
        <v>18</v>
      </c>
      <c r="C26" s="2" t="s">
        <v>24</v>
      </c>
      <c r="D26" s="3" t="s">
        <v>29</v>
      </c>
      <c r="F26" s="2" t="s">
        <v>39</v>
      </c>
      <c r="G26" s="15">
        <v>44727</v>
      </c>
      <c r="H26" s="2">
        <f ca="1">TODAY()-Table1[[#This Row],[Created Date]]</f>
        <v>1304</v>
      </c>
    </row>
    <row r="27" spans="2:8" ht="25.05" customHeight="1" x14ac:dyDescent="0.45">
      <c r="B27" s="2">
        <f t="shared" si="0"/>
        <v>19</v>
      </c>
      <c r="C27" s="2" t="s">
        <v>25</v>
      </c>
      <c r="D27" s="3" t="s">
        <v>40</v>
      </c>
      <c r="F27" s="2" t="s">
        <v>37</v>
      </c>
      <c r="G27" s="15">
        <v>44727</v>
      </c>
      <c r="H27" s="2">
        <f ca="1">TODAY()-Table1[[#This Row],[Created Date]]</f>
        <v>1304</v>
      </c>
    </row>
    <row r="28" spans="2:8" ht="25.05" customHeight="1" x14ac:dyDescent="0.45">
      <c r="B28" s="2">
        <f t="shared" si="0"/>
        <v>20</v>
      </c>
      <c r="C28" s="2" t="s">
        <v>26</v>
      </c>
      <c r="D28" s="3" t="s">
        <v>41</v>
      </c>
      <c r="F28" s="2" t="s">
        <v>37</v>
      </c>
      <c r="G28" s="15">
        <v>44727</v>
      </c>
      <c r="H28" s="2">
        <f ca="1">TODAY()-Table1[[#This Row],[Created Date]]</f>
        <v>1304</v>
      </c>
    </row>
    <row r="29" spans="2:8" ht="25.05" customHeight="1" x14ac:dyDescent="0.45">
      <c r="B29" s="2">
        <f t="shared" si="0"/>
        <v>21</v>
      </c>
      <c r="C29" s="2" t="s">
        <v>47</v>
      </c>
      <c r="D29" s="3" t="s">
        <v>48</v>
      </c>
      <c r="F29" s="2" t="s">
        <v>39</v>
      </c>
      <c r="G29" s="15">
        <v>44727</v>
      </c>
      <c r="H29" s="2">
        <f ca="1">TODAY()-Table1[[#This Row],[Created Date]]</f>
        <v>1304</v>
      </c>
    </row>
  </sheetData>
  <conditionalFormatting sqref="H9:H29">
    <cfRule type="cellIs" dxfId="15" priority="1" operator="greaterThan">
      <formula>90</formula>
    </cfRule>
    <cfRule type="cellIs" dxfId="14" priority="2" operator="between">
      <formula>61</formula>
      <formula>90</formula>
    </cfRule>
    <cfRule type="cellIs" dxfId="13" priority="3" operator="between">
      <formula>31</formula>
      <formula>60</formula>
    </cfRule>
    <cfRule type="cellIs" dxfId="12" priority="4" operator="between">
      <formula>0</formula>
      <formula>30</formula>
    </cfRule>
  </conditionalFormatting>
  <dataValidations count="1">
    <dataValidation type="list" allowBlank="1" showInputMessage="1" showErrorMessage="1" sqref="F9:F29" xr:uid="{00000000-0002-0000-0100-000000000000}">
      <formula1>"Intake, Sourcing, Interviewing, Offer, Background/Onboarding"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9"/>
  <sheetViews>
    <sheetView showGridLines="0" workbookViewId="0">
      <pane ySplit="8" topLeftCell="A9" activePane="bottomLeft" state="frozen"/>
      <selection pane="bottomLeft" activeCell="I12" sqref="I12"/>
    </sheetView>
  </sheetViews>
  <sheetFormatPr defaultColWidth="8.86328125" defaultRowHeight="25.05" customHeight="1" x14ac:dyDescent="0.45"/>
  <cols>
    <col min="1" max="1" width="1.1328125" style="3" customWidth="1"/>
    <col min="2" max="2" width="5.53125" style="2" customWidth="1"/>
    <col min="3" max="3" width="14.46484375" style="2" customWidth="1"/>
    <col min="4" max="4" width="41.19921875" style="3" customWidth="1"/>
    <col min="5" max="5" width="16.6640625" style="2" customWidth="1"/>
    <col min="6" max="6" width="24.46484375" style="2" customWidth="1"/>
    <col min="7" max="7" width="12.33203125" style="2" bestFit="1" customWidth="1"/>
    <col min="8" max="8" width="13.33203125" style="2" customWidth="1"/>
    <col min="9" max="9" width="83.6640625" style="4" customWidth="1"/>
    <col min="10" max="10" width="1.1328125" style="3" customWidth="1"/>
    <col min="11" max="16384" width="8.86328125" style="3"/>
  </cols>
  <sheetData>
    <row r="1" spans="2:9" ht="13.9" x14ac:dyDescent="0.45"/>
    <row r="2" spans="2:9" ht="13.9" x14ac:dyDescent="0.45"/>
    <row r="3" spans="2:9" ht="13.9" x14ac:dyDescent="0.45"/>
    <row r="4" spans="2:9" ht="13.9" x14ac:dyDescent="0.45"/>
    <row r="5" spans="2:9" ht="13.9" x14ac:dyDescent="0.45"/>
    <row r="6" spans="2:9" ht="13.9" x14ac:dyDescent="0.45"/>
    <row r="7" spans="2:9" ht="13.9" x14ac:dyDescent="0.45"/>
    <row r="8" spans="2:9" ht="28.8" customHeight="1" x14ac:dyDescent="0.45">
      <c r="B8" s="5" t="s">
        <v>0</v>
      </c>
      <c r="C8" s="5" t="s">
        <v>1</v>
      </c>
      <c r="D8" s="5" t="s">
        <v>2</v>
      </c>
      <c r="E8" s="5" t="s">
        <v>3</v>
      </c>
      <c r="F8" s="5" t="s">
        <v>46</v>
      </c>
      <c r="G8" s="5" t="s">
        <v>51</v>
      </c>
      <c r="H8" s="5" t="s">
        <v>4</v>
      </c>
      <c r="I8" s="6" t="s">
        <v>5</v>
      </c>
    </row>
    <row r="9" spans="2:9" ht="25.05" customHeight="1" x14ac:dyDescent="0.45">
      <c r="B9" s="2">
        <v>1</v>
      </c>
      <c r="C9" s="2" t="s">
        <v>7</v>
      </c>
      <c r="D9" s="3" t="s">
        <v>27</v>
      </c>
      <c r="F9" s="2" t="s">
        <v>6</v>
      </c>
      <c r="G9" s="15">
        <v>44727</v>
      </c>
      <c r="H9" s="2">
        <f ca="1">TODAY()-Table13[[#This Row],[Created Date]]</f>
        <v>1304</v>
      </c>
    </row>
    <row r="10" spans="2:9" ht="25.05" customHeight="1" x14ac:dyDescent="0.45">
      <c r="B10" s="2">
        <f>B9+1</f>
        <v>2</v>
      </c>
      <c r="C10" s="2" t="s">
        <v>8</v>
      </c>
      <c r="D10" s="3" t="s">
        <v>28</v>
      </c>
      <c r="F10" s="2" t="s">
        <v>38</v>
      </c>
      <c r="G10" s="15">
        <v>44696</v>
      </c>
      <c r="H10" s="2">
        <f ca="1">TODAY()-Table13[[#This Row],[Created Date]]</f>
        <v>1335</v>
      </c>
    </row>
    <row r="11" spans="2:9" ht="25.05" customHeight="1" x14ac:dyDescent="0.45">
      <c r="B11" s="2">
        <f t="shared" ref="B11:B28" si="0">B10+1</f>
        <v>3</v>
      </c>
      <c r="C11" s="2" t="s">
        <v>9</v>
      </c>
      <c r="D11" s="3" t="s">
        <v>29</v>
      </c>
      <c r="F11" s="2" t="s">
        <v>37</v>
      </c>
      <c r="G11" s="15">
        <v>44757</v>
      </c>
      <c r="H11" s="2">
        <f ca="1">TODAY()-Table13[[#This Row],[Created Date]]</f>
        <v>1274</v>
      </c>
    </row>
    <row r="12" spans="2:9" ht="25.05" customHeight="1" x14ac:dyDescent="0.45">
      <c r="B12" s="2">
        <f t="shared" si="0"/>
        <v>4</v>
      </c>
      <c r="C12" s="2" t="s">
        <v>10</v>
      </c>
      <c r="D12" s="3" t="s">
        <v>40</v>
      </c>
      <c r="F12" s="2" t="s">
        <v>38</v>
      </c>
      <c r="G12" s="15">
        <v>44666</v>
      </c>
      <c r="H12" s="2">
        <f ca="1">TODAY()-Table13[[#This Row],[Created Date]]</f>
        <v>1365</v>
      </c>
    </row>
    <row r="13" spans="2:9" ht="25.05" customHeight="1" x14ac:dyDescent="0.45">
      <c r="B13" s="2">
        <f t="shared" si="0"/>
        <v>5</v>
      </c>
      <c r="C13" s="2" t="s">
        <v>11</v>
      </c>
      <c r="D13" s="3" t="s">
        <v>41</v>
      </c>
      <c r="F13" s="2" t="s">
        <v>39</v>
      </c>
      <c r="G13" s="15">
        <v>44727</v>
      </c>
      <c r="H13" s="2">
        <f ca="1">TODAY()-Table13[[#This Row],[Created Date]]</f>
        <v>1304</v>
      </c>
    </row>
    <row r="14" spans="2:9" ht="25.05" customHeight="1" x14ac:dyDescent="0.45">
      <c r="B14" s="2">
        <f t="shared" si="0"/>
        <v>6</v>
      </c>
      <c r="C14" s="2" t="s">
        <v>12</v>
      </c>
      <c r="D14" s="3" t="s">
        <v>27</v>
      </c>
      <c r="F14" s="2" t="s">
        <v>6</v>
      </c>
      <c r="G14" s="15">
        <v>44727</v>
      </c>
      <c r="H14" s="2">
        <f ca="1">TODAY()-Table13[[#This Row],[Created Date]]</f>
        <v>1304</v>
      </c>
    </row>
    <row r="15" spans="2:9" ht="25.05" customHeight="1" x14ac:dyDescent="0.45">
      <c r="B15" s="2">
        <f t="shared" si="0"/>
        <v>7</v>
      </c>
      <c r="C15" s="2" t="s">
        <v>13</v>
      </c>
      <c r="D15" s="3" t="s">
        <v>28</v>
      </c>
      <c r="F15" s="2" t="s">
        <v>38</v>
      </c>
      <c r="G15" s="15">
        <v>44727</v>
      </c>
      <c r="H15" s="2">
        <f ca="1">TODAY()-Table13[[#This Row],[Created Date]]</f>
        <v>1304</v>
      </c>
    </row>
    <row r="16" spans="2:9" ht="25.05" customHeight="1" x14ac:dyDescent="0.45">
      <c r="B16" s="2">
        <f t="shared" si="0"/>
        <v>8</v>
      </c>
      <c r="C16" s="2" t="s">
        <v>14</v>
      </c>
      <c r="D16" s="3" t="s">
        <v>29</v>
      </c>
      <c r="F16" s="2" t="s">
        <v>36</v>
      </c>
      <c r="G16" s="15">
        <v>44727</v>
      </c>
      <c r="H16" s="2">
        <f ca="1">TODAY()-Table13[[#This Row],[Created Date]]</f>
        <v>1304</v>
      </c>
    </row>
    <row r="17" spans="2:8" ht="25.05" customHeight="1" x14ac:dyDescent="0.45">
      <c r="B17" s="2">
        <f t="shared" si="0"/>
        <v>9</v>
      </c>
      <c r="C17" s="2" t="s">
        <v>15</v>
      </c>
      <c r="D17" s="3" t="s">
        <v>40</v>
      </c>
      <c r="F17" s="2" t="s">
        <v>37</v>
      </c>
      <c r="G17" s="15">
        <v>44727</v>
      </c>
      <c r="H17" s="2">
        <f ca="1">TODAY()-Table13[[#This Row],[Created Date]]</f>
        <v>1304</v>
      </c>
    </row>
    <row r="18" spans="2:8" ht="25.05" customHeight="1" x14ac:dyDescent="0.45">
      <c r="B18" s="2">
        <f t="shared" si="0"/>
        <v>10</v>
      </c>
      <c r="C18" s="2" t="s">
        <v>16</v>
      </c>
      <c r="D18" s="3" t="s">
        <v>41</v>
      </c>
      <c r="F18" s="2" t="s">
        <v>36</v>
      </c>
      <c r="G18" s="15">
        <v>44696</v>
      </c>
      <c r="H18" s="2">
        <f ca="1">TODAY()-Table13[[#This Row],[Created Date]]</f>
        <v>1335</v>
      </c>
    </row>
    <row r="19" spans="2:8" ht="25.05" customHeight="1" x14ac:dyDescent="0.45">
      <c r="B19" s="2">
        <f t="shared" si="0"/>
        <v>11</v>
      </c>
      <c r="C19" s="2" t="s">
        <v>17</v>
      </c>
      <c r="D19" s="3" t="s">
        <v>27</v>
      </c>
      <c r="F19" s="2" t="s">
        <v>38</v>
      </c>
      <c r="G19" s="15">
        <v>44727</v>
      </c>
      <c r="H19" s="2">
        <f ca="1">TODAY()-Table13[[#This Row],[Created Date]]</f>
        <v>1304</v>
      </c>
    </row>
    <row r="20" spans="2:8" ht="25.05" customHeight="1" x14ac:dyDescent="0.45">
      <c r="B20" s="2">
        <f t="shared" si="0"/>
        <v>12</v>
      </c>
      <c r="C20" s="2" t="s">
        <v>18</v>
      </c>
      <c r="D20" s="3" t="s">
        <v>28</v>
      </c>
      <c r="F20" s="2" t="s">
        <v>6</v>
      </c>
      <c r="G20" s="15">
        <v>44727</v>
      </c>
      <c r="H20" s="2">
        <f ca="1">TODAY()-Table13[[#This Row],[Created Date]]</f>
        <v>1304</v>
      </c>
    </row>
    <row r="21" spans="2:8" ht="25.05" customHeight="1" x14ac:dyDescent="0.45">
      <c r="B21" s="2">
        <f t="shared" si="0"/>
        <v>13</v>
      </c>
      <c r="C21" s="2" t="s">
        <v>19</v>
      </c>
      <c r="D21" s="3" t="s">
        <v>29</v>
      </c>
      <c r="F21" s="2" t="s">
        <v>38</v>
      </c>
      <c r="G21" s="15">
        <v>44727</v>
      </c>
      <c r="H21" s="2">
        <f ca="1">TODAY()-Table13[[#This Row],[Created Date]]</f>
        <v>1304</v>
      </c>
    </row>
    <row r="22" spans="2:8" ht="25.05" customHeight="1" x14ac:dyDescent="0.45">
      <c r="B22" s="2">
        <f t="shared" si="0"/>
        <v>14</v>
      </c>
      <c r="C22" s="2" t="s">
        <v>20</v>
      </c>
      <c r="D22" s="3" t="s">
        <v>40</v>
      </c>
      <c r="F22" s="2" t="s">
        <v>6</v>
      </c>
      <c r="G22" s="15">
        <v>44727</v>
      </c>
      <c r="H22" s="2">
        <f ca="1">TODAY()-Table13[[#This Row],[Created Date]]</f>
        <v>1304</v>
      </c>
    </row>
    <row r="23" spans="2:8" ht="25.05" customHeight="1" x14ac:dyDescent="0.45">
      <c r="B23" s="2">
        <f t="shared" si="0"/>
        <v>15</v>
      </c>
      <c r="C23" s="2" t="s">
        <v>21</v>
      </c>
      <c r="D23" s="3" t="s">
        <v>41</v>
      </c>
      <c r="F23" s="2" t="s">
        <v>37</v>
      </c>
      <c r="G23" s="15">
        <v>44727</v>
      </c>
      <c r="H23" s="2">
        <f ca="1">TODAY()-Table13[[#This Row],[Created Date]]</f>
        <v>1304</v>
      </c>
    </row>
    <row r="24" spans="2:8" ht="25.05" customHeight="1" x14ac:dyDescent="0.45">
      <c r="B24" s="2">
        <f t="shared" si="0"/>
        <v>16</v>
      </c>
      <c r="C24" s="2" t="s">
        <v>22</v>
      </c>
      <c r="D24" s="3" t="s">
        <v>27</v>
      </c>
      <c r="F24" s="2" t="s">
        <v>6</v>
      </c>
      <c r="G24" s="15">
        <v>44727</v>
      </c>
      <c r="H24" s="2">
        <f ca="1">TODAY()-Table13[[#This Row],[Created Date]]</f>
        <v>1304</v>
      </c>
    </row>
    <row r="25" spans="2:8" ht="25.05" customHeight="1" x14ac:dyDescent="0.45">
      <c r="B25" s="2">
        <f t="shared" si="0"/>
        <v>17</v>
      </c>
      <c r="C25" s="2" t="s">
        <v>23</v>
      </c>
      <c r="D25" s="3" t="s">
        <v>28</v>
      </c>
      <c r="F25" s="2" t="s">
        <v>38</v>
      </c>
      <c r="G25" s="15">
        <v>44727</v>
      </c>
      <c r="H25" s="2">
        <f ca="1">TODAY()-Table13[[#This Row],[Created Date]]</f>
        <v>1304</v>
      </c>
    </row>
    <row r="26" spans="2:8" ht="25.05" customHeight="1" x14ac:dyDescent="0.45">
      <c r="B26" s="2">
        <f t="shared" si="0"/>
        <v>18</v>
      </c>
      <c r="C26" s="2" t="s">
        <v>24</v>
      </c>
      <c r="D26" s="3" t="s">
        <v>29</v>
      </c>
      <c r="F26" s="2" t="s">
        <v>38</v>
      </c>
      <c r="G26" s="15">
        <v>44727</v>
      </c>
      <c r="H26" s="2">
        <f ca="1">TODAY()-Table13[[#This Row],[Created Date]]</f>
        <v>1304</v>
      </c>
    </row>
    <row r="27" spans="2:8" ht="25.05" customHeight="1" x14ac:dyDescent="0.45">
      <c r="B27" s="2">
        <f t="shared" si="0"/>
        <v>19</v>
      </c>
      <c r="C27" s="2" t="s">
        <v>25</v>
      </c>
      <c r="D27" s="3" t="s">
        <v>40</v>
      </c>
      <c r="F27" s="2" t="s">
        <v>39</v>
      </c>
      <c r="G27" s="15">
        <v>44727</v>
      </c>
      <c r="H27" s="2">
        <f ca="1">TODAY()-Table13[[#This Row],[Created Date]]</f>
        <v>1304</v>
      </c>
    </row>
    <row r="28" spans="2:8" ht="25.05" customHeight="1" x14ac:dyDescent="0.45">
      <c r="B28" s="2">
        <f t="shared" si="0"/>
        <v>20</v>
      </c>
      <c r="C28" s="2" t="s">
        <v>26</v>
      </c>
      <c r="D28" s="3" t="s">
        <v>41</v>
      </c>
      <c r="F28" s="2" t="s">
        <v>37</v>
      </c>
      <c r="G28" s="15">
        <v>44727</v>
      </c>
      <c r="H28" s="2">
        <f ca="1">TODAY()-Table13[[#This Row],[Created Date]]</f>
        <v>1304</v>
      </c>
    </row>
    <row r="29" spans="2:8" ht="25.05" customHeight="1" x14ac:dyDescent="0.45">
      <c r="G29" s="15">
        <v>44727</v>
      </c>
      <c r="H29" s="2">
        <f ca="1">TODAY()-Table13[[#This Row],[Created Date]]</f>
        <v>1304</v>
      </c>
    </row>
  </sheetData>
  <conditionalFormatting sqref="H9:H29">
    <cfRule type="cellIs" dxfId="11" priority="1" operator="greaterThan">
      <formula>90</formula>
    </cfRule>
    <cfRule type="cellIs" dxfId="10" priority="2" operator="between">
      <formula>61</formula>
      <formula>90</formula>
    </cfRule>
    <cfRule type="cellIs" dxfId="9" priority="3" operator="between">
      <formula>31</formula>
      <formula>60</formula>
    </cfRule>
    <cfRule type="cellIs" dxfId="8" priority="4" operator="between">
      <formula>0</formula>
      <formula>30</formula>
    </cfRule>
  </conditionalFormatting>
  <dataValidations count="1">
    <dataValidation type="list" allowBlank="1" showInputMessage="1" showErrorMessage="1" sqref="F9:F29" xr:uid="{00000000-0002-0000-0200-000000000000}">
      <formula1>"Intake, Sourcing, Interviewing, Offer, Background/Onboarding"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31"/>
  <sheetViews>
    <sheetView showGridLines="0" workbookViewId="0">
      <pane ySplit="8" topLeftCell="A9" activePane="bottomLeft" state="frozen"/>
      <selection activeCell="I29" sqref="I29"/>
      <selection pane="bottomLeft" activeCell="I12" sqref="I12"/>
    </sheetView>
  </sheetViews>
  <sheetFormatPr defaultColWidth="8.86328125" defaultRowHeight="25.05" customHeight="1" x14ac:dyDescent="0.45"/>
  <cols>
    <col min="1" max="1" width="1.1328125" style="3" customWidth="1"/>
    <col min="2" max="2" width="5.53125" style="2" customWidth="1"/>
    <col min="3" max="3" width="14.46484375" style="2" customWidth="1"/>
    <col min="4" max="4" width="41.19921875" style="3" customWidth="1"/>
    <col min="5" max="5" width="16.6640625" style="2" customWidth="1"/>
    <col min="6" max="6" width="24.46484375" style="2" customWidth="1"/>
    <col min="7" max="7" width="12.33203125" style="2" bestFit="1" customWidth="1"/>
    <col min="8" max="8" width="13.33203125" style="2" customWidth="1"/>
    <col min="9" max="9" width="83.6640625" style="4" customWidth="1"/>
    <col min="10" max="10" width="1.1328125" style="3" customWidth="1"/>
    <col min="11" max="16384" width="8.86328125" style="3"/>
  </cols>
  <sheetData>
    <row r="1" spans="2:9" ht="13.9" x14ac:dyDescent="0.45"/>
    <row r="2" spans="2:9" ht="13.9" x14ac:dyDescent="0.45"/>
    <row r="3" spans="2:9" ht="13.9" x14ac:dyDescent="0.45"/>
    <row r="4" spans="2:9" ht="13.9" x14ac:dyDescent="0.45"/>
    <row r="5" spans="2:9" ht="13.9" x14ac:dyDescent="0.45"/>
    <row r="6" spans="2:9" ht="13.9" x14ac:dyDescent="0.45"/>
    <row r="7" spans="2:9" ht="13.9" x14ac:dyDescent="0.45"/>
    <row r="8" spans="2:9" ht="28.8" customHeight="1" x14ac:dyDescent="0.45">
      <c r="B8" s="5" t="s">
        <v>0</v>
      </c>
      <c r="C8" s="5" t="s">
        <v>1</v>
      </c>
      <c r="D8" s="5" t="s">
        <v>2</v>
      </c>
      <c r="E8" s="5" t="s">
        <v>3</v>
      </c>
      <c r="F8" s="5" t="s">
        <v>46</v>
      </c>
      <c r="G8" s="5" t="s">
        <v>51</v>
      </c>
      <c r="H8" s="5" t="s">
        <v>4</v>
      </c>
      <c r="I8" s="6" t="s">
        <v>5</v>
      </c>
    </row>
    <row r="9" spans="2:9" ht="25.05" customHeight="1" x14ac:dyDescent="0.45">
      <c r="B9" s="2">
        <v>1</v>
      </c>
      <c r="C9" s="2" t="s">
        <v>7</v>
      </c>
      <c r="D9" s="3" t="s">
        <v>27</v>
      </c>
      <c r="F9" s="2" t="s">
        <v>6</v>
      </c>
      <c r="G9" s="15">
        <v>44727</v>
      </c>
      <c r="H9" s="2">
        <f ca="1">TODAY()-Table14[[#This Row],[Created Date]]</f>
        <v>1304</v>
      </c>
    </row>
    <row r="10" spans="2:9" ht="25.05" customHeight="1" x14ac:dyDescent="0.45">
      <c r="B10" s="2">
        <f>B9+1</f>
        <v>2</v>
      </c>
      <c r="C10" s="2" t="s">
        <v>8</v>
      </c>
      <c r="D10" s="3" t="s">
        <v>28</v>
      </c>
      <c r="F10" s="2" t="s">
        <v>39</v>
      </c>
      <c r="G10" s="15">
        <v>44696</v>
      </c>
      <c r="H10" s="2">
        <f ca="1">TODAY()-Table14[[#This Row],[Created Date]]</f>
        <v>1335</v>
      </c>
    </row>
    <row r="11" spans="2:9" ht="25.05" customHeight="1" x14ac:dyDescent="0.45">
      <c r="B11" s="2">
        <f t="shared" ref="B11:B31" si="0">B10+1</f>
        <v>3</v>
      </c>
      <c r="C11" s="2" t="s">
        <v>9</v>
      </c>
      <c r="D11" s="3" t="s">
        <v>29</v>
      </c>
      <c r="F11" s="2" t="s">
        <v>6</v>
      </c>
      <c r="G11" s="15">
        <v>44757</v>
      </c>
      <c r="H11" s="2">
        <f ca="1">TODAY()-Table14[[#This Row],[Created Date]]</f>
        <v>1274</v>
      </c>
    </row>
    <row r="12" spans="2:9" ht="25.05" customHeight="1" x14ac:dyDescent="0.45">
      <c r="B12" s="2">
        <f t="shared" si="0"/>
        <v>4</v>
      </c>
      <c r="C12" s="2" t="s">
        <v>10</v>
      </c>
      <c r="D12" s="3" t="s">
        <v>40</v>
      </c>
      <c r="F12" s="2" t="s">
        <v>38</v>
      </c>
      <c r="G12" s="15">
        <v>44666</v>
      </c>
      <c r="H12" s="2">
        <f ca="1">TODAY()-Table14[[#This Row],[Created Date]]</f>
        <v>1365</v>
      </c>
    </row>
    <row r="13" spans="2:9" ht="25.05" customHeight="1" x14ac:dyDescent="0.45">
      <c r="B13" s="2">
        <f t="shared" si="0"/>
        <v>5</v>
      </c>
      <c r="C13" s="2" t="s">
        <v>11</v>
      </c>
      <c r="D13" s="3" t="s">
        <v>41</v>
      </c>
      <c r="F13" s="2" t="s">
        <v>38</v>
      </c>
      <c r="G13" s="15">
        <v>44727</v>
      </c>
      <c r="H13" s="2">
        <f ca="1">TODAY()-Table14[[#This Row],[Created Date]]</f>
        <v>1304</v>
      </c>
    </row>
    <row r="14" spans="2:9" ht="25.05" customHeight="1" x14ac:dyDescent="0.45">
      <c r="B14" s="2">
        <f t="shared" si="0"/>
        <v>6</v>
      </c>
      <c r="C14" s="2" t="s">
        <v>12</v>
      </c>
      <c r="D14" s="3" t="s">
        <v>27</v>
      </c>
      <c r="F14" s="2" t="s">
        <v>6</v>
      </c>
      <c r="G14" s="15">
        <v>44727</v>
      </c>
      <c r="H14" s="2">
        <f ca="1">TODAY()-Table14[[#This Row],[Created Date]]</f>
        <v>1304</v>
      </c>
    </row>
    <row r="15" spans="2:9" ht="25.05" customHeight="1" x14ac:dyDescent="0.45">
      <c r="B15" s="2">
        <f t="shared" si="0"/>
        <v>7</v>
      </c>
      <c r="C15" s="2" t="s">
        <v>13</v>
      </c>
      <c r="D15" s="3" t="s">
        <v>28</v>
      </c>
      <c r="F15" s="2" t="s">
        <v>38</v>
      </c>
      <c r="G15" s="15">
        <v>44727</v>
      </c>
      <c r="H15" s="2">
        <f ca="1">TODAY()-Table14[[#This Row],[Created Date]]</f>
        <v>1304</v>
      </c>
    </row>
    <row r="16" spans="2:9" ht="25.05" customHeight="1" x14ac:dyDescent="0.45">
      <c r="B16" s="2">
        <f t="shared" si="0"/>
        <v>8</v>
      </c>
      <c r="C16" s="2" t="s">
        <v>14</v>
      </c>
      <c r="D16" s="3" t="s">
        <v>29</v>
      </c>
      <c r="F16" s="2" t="s">
        <v>36</v>
      </c>
      <c r="G16" s="15">
        <v>44727</v>
      </c>
      <c r="H16" s="2">
        <f ca="1">TODAY()-Table14[[#This Row],[Created Date]]</f>
        <v>1304</v>
      </c>
    </row>
    <row r="17" spans="2:8" ht="25.05" customHeight="1" x14ac:dyDescent="0.45">
      <c r="B17" s="2">
        <f t="shared" si="0"/>
        <v>9</v>
      </c>
      <c r="C17" s="2" t="s">
        <v>15</v>
      </c>
      <c r="D17" s="3" t="s">
        <v>40</v>
      </c>
      <c r="F17" s="2" t="s">
        <v>37</v>
      </c>
      <c r="G17" s="15">
        <v>44727</v>
      </c>
      <c r="H17" s="2">
        <f ca="1">TODAY()-Table14[[#This Row],[Created Date]]</f>
        <v>1304</v>
      </c>
    </row>
    <row r="18" spans="2:8" ht="25.05" customHeight="1" x14ac:dyDescent="0.45">
      <c r="B18" s="2">
        <f t="shared" si="0"/>
        <v>10</v>
      </c>
      <c r="C18" s="2" t="s">
        <v>16</v>
      </c>
      <c r="D18" s="3" t="s">
        <v>41</v>
      </c>
      <c r="F18" s="2" t="s">
        <v>6</v>
      </c>
      <c r="G18" s="15">
        <v>44696</v>
      </c>
      <c r="H18" s="2">
        <f ca="1">TODAY()-Table14[[#This Row],[Created Date]]</f>
        <v>1335</v>
      </c>
    </row>
    <row r="19" spans="2:8" ht="25.05" customHeight="1" x14ac:dyDescent="0.45">
      <c r="B19" s="2">
        <f t="shared" si="0"/>
        <v>11</v>
      </c>
      <c r="C19" s="2" t="s">
        <v>17</v>
      </c>
      <c r="D19" s="3" t="s">
        <v>27</v>
      </c>
      <c r="F19" s="2" t="s">
        <v>38</v>
      </c>
      <c r="G19" s="15">
        <v>44727</v>
      </c>
      <c r="H19" s="2">
        <f ca="1">TODAY()-Table14[[#This Row],[Created Date]]</f>
        <v>1304</v>
      </c>
    </row>
    <row r="20" spans="2:8" ht="25.05" customHeight="1" x14ac:dyDescent="0.45">
      <c r="B20" s="2">
        <f t="shared" si="0"/>
        <v>12</v>
      </c>
      <c r="C20" s="2" t="s">
        <v>18</v>
      </c>
      <c r="D20" s="3" t="s">
        <v>28</v>
      </c>
      <c r="F20" s="2" t="s">
        <v>6</v>
      </c>
      <c r="G20" s="15">
        <v>44727</v>
      </c>
      <c r="H20" s="2">
        <f ca="1">TODAY()-Table14[[#This Row],[Created Date]]</f>
        <v>1304</v>
      </c>
    </row>
    <row r="21" spans="2:8" ht="25.05" customHeight="1" x14ac:dyDescent="0.45">
      <c r="B21" s="2">
        <f t="shared" si="0"/>
        <v>13</v>
      </c>
      <c r="C21" s="2" t="s">
        <v>19</v>
      </c>
      <c r="D21" s="3" t="s">
        <v>29</v>
      </c>
      <c r="F21" s="2" t="s">
        <v>39</v>
      </c>
      <c r="G21" s="15">
        <v>44727</v>
      </c>
      <c r="H21" s="2">
        <f ca="1">TODAY()-Table14[[#This Row],[Created Date]]</f>
        <v>1304</v>
      </c>
    </row>
    <row r="22" spans="2:8" ht="25.05" customHeight="1" x14ac:dyDescent="0.45">
      <c r="B22" s="2">
        <f t="shared" si="0"/>
        <v>14</v>
      </c>
      <c r="C22" s="2" t="s">
        <v>20</v>
      </c>
      <c r="D22" s="3" t="s">
        <v>40</v>
      </c>
      <c r="F22" s="2" t="s">
        <v>38</v>
      </c>
      <c r="G22" s="15">
        <v>44727</v>
      </c>
      <c r="H22" s="2">
        <f ca="1">TODAY()-Table14[[#This Row],[Created Date]]</f>
        <v>1304</v>
      </c>
    </row>
    <row r="23" spans="2:8" ht="25.05" customHeight="1" x14ac:dyDescent="0.45">
      <c r="B23" s="2">
        <f t="shared" si="0"/>
        <v>15</v>
      </c>
      <c r="C23" s="2" t="s">
        <v>21</v>
      </c>
      <c r="D23" s="3" t="s">
        <v>41</v>
      </c>
      <c r="F23" s="2" t="s">
        <v>37</v>
      </c>
      <c r="G23" s="15">
        <v>44727</v>
      </c>
      <c r="H23" s="2">
        <f ca="1">TODAY()-Table14[[#This Row],[Created Date]]</f>
        <v>1304</v>
      </c>
    </row>
    <row r="24" spans="2:8" ht="25.05" customHeight="1" x14ac:dyDescent="0.45">
      <c r="B24" s="2">
        <f t="shared" si="0"/>
        <v>16</v>
      </c>
      <c r="C24" s="2" t="s">
        <v>22</v>
      </c>
      <c r="D24" s="3" t="s">
        <v>27</v>
      </c>
      <c r="F24" s="2" t="s">
        <v>36</v>
      </c>
      <c r="G24" s="15">
        <v>44727</v>
      </c>
      <c r="H24" s="2">
        <f ca="1">TODAY()-Table14[[#This Row],[Created Date]]</f>
        <v>1304</v>
      </c>
    </row>
    <row r="25" spans="2:8" ht="25.05" customHeight="1" x14ac:dyDescent="0.45">
      <c r="B25" s="2">
        <f t="shared" si="0"/>
        <v>17</v>
      </c>
      <c r="C25" s="2" t="s">
        <v>23</v>
      </c>
      <c r="D25" s="3" t="s">
        <v>28</v>
      </c>
      <c r="F25" s="2" t="s">
        <v>36</v>
      </c>
      <c r="G25" s="15">
        <v>44727</v>
      </c>
      <c r="H25" s="2">
        <f ca="1">TODAY()-Table14[[#This Row],[Created Date]]</f>
        <v>1304</v>
      </c>
    </row>
    <row r="26" spans="2:8" ht="25.05" customHeight="1" x14ac:dyDescent="0.45">
      <c r="B26" s="2">
        <f t="shared" si="0"/>
        <v>18</v>
      </c>
      <c r="C26" s="2" t="s">
        <v>24</v>
      </c>
      <c r="D26" s="3" t="s">
        <v>29</v>
      </c>
      <c r="F26" s="2" t="s">
        <v>37</v>
      </c>
      <c r="G26" s="15">
        <v>44727</v>
      </c>
      <c r="H26" s="2">
        <f ca="1">TODAY()-Table14[[#This Row],[Created Date]]</f>
        <v>1304</v>
      </c>
    </row>
    <row r="27" spans="2:8" ht="25.05" customHeight="1" x14ac:dyDescent="0.45">
      <c r="B27" s="2">
        <f t="shared" si="0"/>
        <v>19</v>
      </c>
      <c r="C27" s="2" t="s">
        <v>25</v>
      </c>
      <c r="D27" s="3" t="s">
        <v>40</v>
      </c>
      <c r="F27" s="2" t="s">
        <v>37</v>
      </c>
      <c r="G27" s="15">
        <v>44727</v>
      </c>
      <c r="H27" s="2">
        <f ca="1">TODAY()-Table14[[#This Row],[Created Date]]</f>
        <v>1304</v>
      </c>
    </row>
    <row r="28" spans="2:8" ht="25.05" customHeight="1" x14ac:dyDescent="0.45">
      <c r="B28" s="2">
        <f t="shared" si="0"/>
        <v>20</v>
      </c>
      <c r="C28" s="2" t="s">
        <v>26</v>
      </c>
      <c r="D28" s="3" t="s">
        <v>41</v>
      </c>
      <c r="F28" s="2" t="s">
        <v>37</v>
      </c>
      <c r="G28" s="15">
        <v>44727</v>
      </c>
      <c r="H28" s="2">
        <f ca="1">TODAY()-Table14[[#This Row],[Created Date]]</f>
        <v>1304</v>
      </c>
    </row>
    <row r="29" spans="2:8" ht="25.05" customHeight="1" x14ac:dyDescent="0.45">
      <c r="B29" s="2">
        <f t="shared" si="0"/>
        <v>21</v>
      </c>
      <c r="C29" s="2" t="s">
        <v>47</v>
      </c>
      <c r="G29" s="15">
        <v>44727</v>
      </c>
      <c r="H29" s="2">
        <f ca="1">TODAY()-Table14[[#This Row],[Created Date]]</f>
        <v>1304</v>
      </c>
    </row>
    <row r="30" spans="2:8" ht="25.05" customHeight="1" x14ac:dyDescent="0.45">
      <c r="B30" s="2">
        <f t="shared" si="0"/>
        <v>22</v>
      </c>
      <c r="C30" s="2" t="s">
        <v>49</v>
      </c>
      <c r="G30" s="15">
        <v>44727</v>
      </c>
      <c r="H30" s="2">
        <f ca="1">TODAY()-Table14[[#This Row],[Created Date]]</f>
        <v>1304</v>
      </c>
    </row>
    <row r="31" spans="2:8" ht="25.05" customHeight="1" x14ac:dyDescent="0.45">
      <c r="B31" s="2">
        <f t="shared" si="0"/>
        <v>23</v>
      </c>
      <c r="C31" s="2" t="s">
        <v>50</v>
      </c>
      <c r="G31" s="15">
        <v>44727</v>
      </c>
      <c r="H31" s="2">
        <f ca="1">TODAY()-Table14[[#This Row],[Created Date]]</f>
        <v>1304</v>
      </c>
    </row>
  </sheetData>
  <conditionalFormatting sqref="H9:H31">
    <cfRule type="cellIs" dxfId="7" priority="1" operator="greaterThan">
      <formula>90</formula>
    </cfRule>
    <cfRule type="cellIs" dxfId="6" priority="2" operator="between">
      <formula>61</formula>
      <formula>90</formula>
    </cfRule>
    <cfRule type="cellIs" dxfId="5" priority="3" operator="between">
      <formula>31</formula>
      <formula>60</formula>
    </cfRule>
    <cfRule type="cellIs" dxfId="4" priority="4" operator="between">
      <formula>0</formula>
      <formula>30</formula>
    </cfRule>
  </conditionalFormatting>
  <dataValidations count="1">
    <dataValidation type="list" allowBlank="1" showInputMessage="1" showErrorMessage="1" sqref="F9:F31" xr:uid="{00000000-0002-0000-0300-000000000000}">
      <formula1>"Intake, Sourcing, Interviewing, Offer, Background/Onboarding"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9"/>
  <sheetViews>
    <sheetView showGridLines="0" workbookViewId="0">
      <pane ySplit="8" topLeftCell="A9" activePane="bottomLeft" state="frozen"/>
      <selection activeCell="I29" sqref="I29"/>
      <selection pane="bottomLeft" activeCell="I13" sqref="I13"/>
    </sheetView>
  </sheetViews>
  <sheetFormatPr defaultColWidth="8.86328125" defaultRowHeight="25.05" customHeight="1" x14ac:dyDescent="0.45"/>
  <cols>
    <col min="1" max="1" width="1.1328125" style="3" customWidth="1"/>
    <col min="2" max="2" width="5.53125" style="2" customWidth="1"/>
    <col min="3" max="3" width="14.46484375" style="2" customWidth="1"/>
    <col min="4" max="4" width="41.19921875" style="3" customWidth="1"/>
    <col min="5" max="5" width="16.6640625" style="2" customWidth="1"/>
    <col min="6" max="6" width="24.46484375" style="2" customWidth="1"/>
    <col min="7" max="7" width="12.33203125" style="2" bestFit="1" customWidth="1"/>
    <col min="8" max="8" width="13.33203125" style="2" customWidth="1"/>
    <col min="9" max="9" width="83.6640625" style="4" customWidth="1"/>
    <col min="10" max="10" width="1.1328125" style="3" customWidth="1"/>
    <col min="11" max="16384" width="8.86328125" style="3"/>
  </cols>
  <sheetData>
    <row r="1" spans="2:9" ht="13.9" x14ac:dyDescent="0.45"/>
    <row r="2" spans="2:9" ht="13.9" x14ac:dyDescent="0.45"/>
    <row r="3" spans="2:9" ht="13.9" x14ac:dyDescent="0.45"/>
    <row r="4" spans="2:9" ht="13.9" x14ac:dyDescent="0.45"/>
    <row r="5" spans="2:9" ht="13.9" x14ac:dyDescent="0.45"/>
    <row r="6" spans="2:9" ht="13.9" x14ac:dyDescent="0.45"/>
    <row r="7" spans="2:9" ht="13.9" x14ac:dyDescent="0.45"/>
    <row r="8" spans="2:9" ht="28.8" customHeight="1" x14ac:dyDescent="0.45">
      <c r="B8" s="5" t="s">
        <v>0</v>
      </c>
      <c r="C8" s="5" t="s">
        <v>1</v>
      </c>
      <c r="D8" s="5" t="s">
        <v>2</v>
      </c>
      <c r="E8" s="5" t="s">
        <v>3</v>
      </c>
      <c r="F8" s="5" t="s">
        <v>46</v>
      </c>
      <c r="G8" s="5" t="s">
        <v>51</v>
      </c>
      <c r="H8" s="5" t="s">
        <v>4</v>
      </c>
      <c r="I8" s="6" t="s">
        <v>5</v>
      </c>
    </row>
    <row r="9" spans="2:9" ht="25.05" customHeight="1" x14ac:dyDescent="0.45">
      <c r="B9" s="2">
        <v>1</v>
      </c>
      <c r="C9" s="2" t="s">
        <v>7</v>
      </c>
      <c r="D9" s="3" t="s">
        <v>27</v>
      </c>
      <c r="F9" s="2" t="s">
        <v>6</v>
      </c>
      <c r="G9" s="15">
        <v>44727</v>
      </c>
      <c r="H9" s="2">
        <f ca="1">TODAY()-Table145[[#This Row],[Created Date]]</f>
        <v>1304</v>
      </c>
    </row>
    <row r="10" spans="2:9" ht="25.05" customHeight="1" x14ac:dyDescent="0.45">
      <c r="B10" s="2">
        <f>B9+1</f>
        <v>2</v>
      </c>
      <c r="C10" s="2" t="s">
        <v>8</v>
      </c>
      <c r="D10" s="3" t="s">
        <v>28</v>
      </c>
      <c r="F10" s="2" t="s">
        <v>36</v>
      </c>
      <c r="G10" s="15">
        <v>44696</v>
      </c>
      <c r="H10" s="2">
        <f ca="1">TODAY()-Table145[[#This Row],[Created Date]]</f>
        <v>1335</v>
      </c>
    </row>
    <row r="11" spans="2:9" ht="25.05" customHeight="1" x14ac:dyDescent="0.45">
      <c r="B11" s="2">
        <f t="shared" ref="B11:B28" si="0">B10+1</f>
        <v>3</v>
      </c>
      <c r="C11" s="2" t="s">
        <v>9</v>
      </c>
      <c r="D11" s="3" t="s">
        <v>29</v>
      </c>
      <c r="F11" s="2" t="s">
        <v>37</v>
      </c>
      <c r="G11" s="15">
        <v>44757</v>
      </c>
      <c r="H11" s="2">
        <f ca="1">TODAY()-Table145[[#This Row],[Created Date]]</f>
        <v>1274</v>
      </c>
    </row>
    <row r="12" spans="2:9" ht="25.05" customHeight="1" x14ac:dyDescent="0.45">
      <c r="B12" s="2">
        <f t="shared" si="0"/>
        <v>4</v>
      </c>
      <c r="C12" s="2" t="s">
        <v>10</v>
      </c>
      <c r="D12" s="3" t="s">
        <v>40</v>
      </c>
      <c r="F12" s="2" t="s">
        <v>39</v>
      </c>
      <c r="G12" s="15">
        <v>44666</v>
      </c>
      <c r="H12" s="2">
        <f ca="1">TODAY()-Table145[[#This Row],[Created Date]]</f>
        <v>1365</v>
      </c>
    </row>
    <row r="13" spans="2:9" ht="25.05" customHeight="1" x14ac:dyDescent="0.45">
      <c r="B13" s="2">
        <f t="shared" si="0"/>
        <v>5</v>
      </c>
      <c r="C13" s="2" t="s">
        <v>11</v>
      </c>
      <c r="D13" s="3" t="s">
        <v>41</v>
      </c>
      <c r="F13" s="2" t="s">
        <v>39</v>
      </c>
      <c r="G13" s="15">
        <v>44727</v>
      </c>
      <c r="H13" s="2">
        <f ca="1">TODAY()-Table145[[#This Row],[Created Date]]</f>
        <v>1304</v>
      </c>
    </row>
    <row r="14" spans="2:9" ht="25.05" customHeight="1" x14ac:dyDescent="0.45">
      <c r="B14" s="2">
        <f t="shared" si="0"/>
        <v>6</v>
      </c>
      <c r="C14" s="2" t="s">
        <v>12</v>
      </c>
      <c r="D14" s="3" t="s">
        <v>27</v>
      </c>
      <c r="F14" s="2" t="s">
        <v>6</v>
      </c>
      <c r="G14" s="15">
        <v>44727</v>
      </c>
      <c r="H14" s="2">
        <f ca="1">TODAY()-Table145[[#This Row],[Created Date]]</f>
        <v>1304</v>
      </c>
    </row>
    <row r="15" spans="2:9" ht="25.05" customHeight="1" x14ac:dyDescent="0.45">
      <c r="B15" s="2">
        <f t="shared" si="0"/>
        <v>7</v>
      </c>
      <c r="C15" s="2" t="s">
        <v>13</v>
      </c>
      <c r="D15" s="3" t="s">
        <v>28</v>
      </c>
      <c r="F15" s="2" t="s">
        <v>38</v>
      </c>
      <c r="G15" s="15">
        <v>44727</v>
      </c>
      <c r="H15" s="2">
        <f ca="1">TODAY()-Table145[[#This Row],[Created Date]]</f>
        <v>1304</v>
      </c>
    </row>
    <row r="16" spans="2:9" ht="25.05" customHeight="1" x14ac:dyDescent="0.45">
      <c r="B16" s="2">
        <f t="shared" si="0"/>
        <v>8</v>
      </c>
      <c r="C16" s="2" t="s">
        <v>14</v>
      </c>
      <c r="D16" s="3" t="s">
        <v>29</v>
      </c>
      <c r="F16" s="2" t="s">
        <v>36</v>
      </c>
      <c r="G16" s="15">
        <v>44727</v>
      </c>
      <c r="H16" s="2">
        <f ca="1">TODAY()-Table145[[#This Row],[Created Date]]</f>
        <v>1304</v>
      </c>
    </row>
    <row r="17" spans="2:8" ht="25.05" customHeight="1" x14ac:dyDescent="0.45">
      <c r="B17" s="2">
        <f t="shared" si="0"/>
        <v>9</v>
      </c>
      <c r="C17" s="2" t="s">
        <v>15</v>
      </c>
      <c r="D17" s="3" t="s">
        <v>40</v>
      </c>
      <c r="F17" s="2" t="s">
        <v>38</v>
      </c>
      <c r="G17" s="15">
        <v>44727</v>
      </c>
      <c r="H17" s="2">
        <f ca="1">TODAY()-Table145[[#This Row],[Created Date]]</f>
        <v>1304</v>
      </c>
    </row>
    <row r="18" spans="2:8" ht="25.05" customHeight="1" x14ac:dyDescent="0.45">
      <c r="B18" s="2">
        <f t="shared" si="0"/>
        <v>10</v>
      </c>
      <c r="C18" s="2" t="s">
        <v>16</v>
      </c>
      <c r="D18" s="3" t="s">
        <v>41</v>
      </c>
      <c r="F18" s="2" t="s">
        <v>6</v>
      </c>
      <c r="G18" s="15">
        <v>44696</v>
      </c>
      <c r="H18" s="2">
        <f ca="1">TODAY()-Table145[[#This Row],[Created Date]]</f>
        <v>1335</v>
      </c>
    </row>
    <row r="19" spans="2:8" ht="25.05" customHeight="1" x14ac:dyDescent="0.45">
      <c r="B19" s="2">
        <f t="shared" si="0"/>
        <v>11</v>
      </c>
      <c r="C19" s="2" t="s">
        <v>17</v>
      </c>
      <c r="D19" s="3" t="s">
        <v>27</v>
      </c>
      <c r="F19" s="2" t="s">
        <v>38</v>
      </c>
      <c r="G19" s="15">
        <v>44727</v>
      </c>
      <c r="H19" s="2">
        <f ca="1">TODAY()-Table145[[#This Row],[Created Date]]</f>
        <v>1304</v>
      </c>
    </row>
    <row r="20" spans="2:8" ht="25.05" customHeight="1" x14ac:dyDescent="0.45">
      <c r="B20" s="2">
        <f t="shared" si="0"/>
        <v>12</v>
      </c>
      <c r="C20" s="2" t="s">
        <v>18</v>
      </c>
      <c r="D20" s="3" t="s">
        <v>28</v>
      </c>
      <c r="F20" s="2" t="s">
        <v>6</v>
      </c>
      <c r="G20" s="15">
        <v>44727</v>
      </c>
      <c r="H20" s="2">
        <f ca="1">TODAY()-Table145[[#This Row],[Created Date]]</f>
        <v>1304</v>
      </c>
    </row>
    <row r="21" spans="2:8" ht="25.05" customHeight="1" x14ac:dyDescent="0.45">
      <c r="B21" s="2">
        <f t="shared" si="0"/>
        <v>13</v>
      </c>
      <c r="C21" s="2" t="s">
        <v>19</v>
      </c>
      <c r="D21" s="3" t="s">
        <v>29</v>
      </c>
      <c r="F21" s="2" t="s">
        <v>38</v>
      </c>
      <c r="G21" s="15">
        <v>44727</v>
      </c>
      <c r="H21" s="2">
        <f ca="1">TODAY()-Table145[[#This Row],[Created Date]]</f>
        <v>1304</v>
      </c>
    </row>
    <row r="22" spans="2:8" ht="25.05" customHeight="1" x14ac:dyDescent="0.45">
      <c r="B22" s="2">
        <f t="shared" si="0"/>
        <v>14</v>
      </c>
      <c r="C22" s="2" t="s">
        <v>20</v>
      </c>
      <c r="D22" s="3" t="s">
        <v>40</v>
      </c>
      <c r="F22" s="2" t="s">
        <v>6</v>
      </c>
      <c r="G22" s="15">
        <v>44727</v>
      </c>
      <c r="H22" s="2">
        <f ca="1">TODAY()-Table145[[#This Row],[Created Date]]</f>
        <v>1304</v>
      </c>
    </row>
    <row r="23" spans="2:8" ht="25.05" customHeight="1" x14ac:dyDescent="0.45">
      <c r="B23" s="2">
        <f t="shared" si="0"/>
        <v>15</v>
      </c>
      <c r="C23" s="2" t="s">
        <v>21</v>
      </c>
      <c r="D23" s="3" t="s">
        <v>41</v>
      </c>
      <c r="F23" s="2" t="s">
        <v>37</v>
      </c>
      <c r="G23" s="15">
        <v>44727</v>
      </c>
      <c r="H23" s="2">
        <f ca="1">TODAY()-Table145[[#This Row],[Created Date]]</f>
        <v>1304</v>
      </c>
    </row>
    <row r="24" spans="2:8" ht="25.05" customHeight="1" x14ac:dyDescent="0.45">
      <c r="B24" s="2">
        <f t="shared" si="0"/>
        <v>16</v>
      </c>
      <c r="C24" s="2" t="s">
        <v>22</v>
      </c>
      <c r="D24" s="3" t="s">
        <v>27</v>
      </c>
      <c r="F24" s="2" t="s">
        <v>6</v>
      </c>
      <c r="G24" s="15">
        <v>44727</v>
      </c>
      <c r="H24" s="2">
        <f ca="1">TODAY()-Table145[[#This Row],[Created Date]]</f>
        <v>1304</v>
      </c>
    </row>
    <row r="25" spans="2:8" ht="25.05" customHeight="1" x14ac:dyDescent="0.45">
      <c r="B25" s="2">
        <f t="shared" si="0"/>
        <v>17</v>
      </c>
      <c r="C25" s="2" t="s">
        <v>23</v>
      </c>
      <c r="D25" s="3" t="s">
        <v>28</v>
      </c>
      <c r="F25" s="2" t="s">
        <v>36</v>
      </c>
      <c r="G25" s="15">
        <v>44727</v>
      </c>
      <c r="H25" s="2">
        <f ca="1">TODAY()-Table145[[#This Row],[Created Date]]</f>
        <v>1304</v>
      </c>
    </row>
    <row r="26" spans="2:8" ht="25.05" customHeight="1" x14ac:dyDescent="0.45">
      <c r="B26" s="2">
        <f t="shared" si="0"/>
        <v>18</v>
      </c>
      <c r="C26" s="2" t="s">
        <v>24</v>
      </c>
      <c r="D26" s="3" t="s">
        <v>29</v>
      </c>
      <c r="F26" s="2" t="s">
        <v>36</v>
      </c>
      <c r="G26" s="15">
        <v>44727</v>
      </c>
      <c r="H26" s="2">
        <f ca="1">TODAY()-Table145[[#This Row],[Created Date]]</f>
        <v>1304</v>
      </c>
    </row>
    <row r="27" spans="2:8" ht="25.05" customHeight="1" x14ac:dyDescent="0.45">
      <c r="B27" s="2">
        <f t="shared" si="0"/>
        <v>19</v>
      </c>
      <c r="C27" s="2" t="s">
        <v>25</v>
      </c>
      <c r="D27" s="3" t="s">
        <v>40</v>
      </c>
      <c r="F27" s="2" t="s">
        <v>36</v>
      </c>
      <c r="G27" s="15">
        <v>44727</v>
      </c>
      <c r="H27" s="2">
        <f ca="1">TODAY()-Table145[[#This Row],[Created Date]]</f>
        <v>1304</v>
      </c>
    </row>
    <row r="28" spans="2:8" ht="25.05" customHeight="1" x14ac:dyDescent="0.45">
      <c r="B28" s="2">
        <f t="shared" si="0"/>
        <v>20</v>
      </c>
      <c r="C28" s="2" t="s">
        <v>26</v>
      </c>
      <c r="D28" s="3" t="s">
        <v>41</v>
      </c>
      <c r="F28" s="2" t="s">
        <v>37</v>
      </c>
      <c r="G28" s="15">
        <v>44727</v>
      </c>
      <c r="H28" s="2">
        <f ca="1">TODAY()-Table145[[#This Row],[Created Date]]</f>
        <v>1304</v>
      </c>
    </row>
    <row r="29" spans="2:8" ht="25.05" customHeight="1" x14ac:dyDescent="0.45">
      <c r="G29" s="15">
        <v>44727</v>
      </c>
      <c r="H29" s="2">
        <f ca="1">TODAY()-Table145[[#This Row],[Created Date]]</f>
        <v>1304</v>
      </c>
    </row>
  </sheetData>
  <conditionalFormatting sqref="H9:H29">
    <cfRule type="cellIs" dxfId="3" priority="1" operator="greaterThan">
      <formula>90</formula>
    </cfRule>
    <cfRule type="cellIs" dxfId="2" priority="2" operator="between">
      <formula>61</formula>
      <formula>90</formula>
    </cfRule>
    <cfRule type="cellIs" dxfId="1" priority="3" operator="between">
      <formula>31</formula>
      <formula>60</formula>
    </cfRule>
    <cfRule type="cellIs" dxfId="0" priority="4" operator="between">
      <formula>0</formula>
      <formula>30</formula>
    </cfRule>
  </conditionalFormatting>
  <dataValidations count="1">
    <dataValidation type="list" allowBlank="1" showInputMessage="1" showErrorMessage="1" sqref="F9:F29" xr:uid="{00000000-0002-0000-0400-000000000000}">
      <formula1>"Intake, Sourcing, Interviewing, Offer, Background/Onboarding"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Dashboard</vt:lpstr>
      <vt:lpstr>Recruiter 01 Data </vt:lpstr>
      <vt:lpstr>Recruiter 02 Data</vt:lpstr>
      <vt:lpstr>Recruiter 03 Data</vt:lpstr>
      <vt:lpstr>Recruiter 04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2026-01-09T11:35:51Z</dcterms:modified>
</cp:coreProperties>
</file>